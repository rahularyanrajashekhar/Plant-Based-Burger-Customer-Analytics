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2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3518d58e1d7728c6/Documents/Subjects/Customer Analytics/"/>
    </mc:Choice>
  </mc:AlternateContent>
  <xr:revisionPtr revIDLastSave="321" documentId="13_ncr:1_{3AB48F98-C382-D54E-9F34-E165D73E12B9}" xr6:coauthVersionLast="47" xr6:coauthVersionMax="47" xr10:uidLastSave="{E4311A09-45D6-4B03-BCB8-2713F4F2DC73}"/>
  <bookViews>
    <workbookView xWindow="-108" yWindow="-108" windowWidth="23256" windowHeight="13896" firstSheet="9" activeTab="11" xr2:uid="{71A8A9C1-A003-44D0-9D46-7C47BF42DF8E}"/>
  </bookViews>
  <sheets>
    <sheet name="Sheet1" sheetId="1" r:id="rId1"/>
    <sheet name="Sheet2" sheetId="2" r:id="rId2"/>
    <sheet name="Sheet5" sheetId="5" r:id="rId3"/>
    <sheet name="Sheet6" sheetId="6" r:id="rId4"/>
    <sheet name="Latest" sheetId="7" r:id="rId5"/>
    <sheet name="Partworth Analysis" sheetId="10" r:id="rId6"/>
    <sheet name="Price" sheetId="16" r:id="rId7"/>
    <sheet name="Market Prediction" sheetId="11" r:id="rId8"/>
    <sheet name="Type of Patty frequency " sheetId="14" r:id="rId9"/>
    <sheet name="Type of bread frequency" sheetId="15" r:id="rId10"/>
    <sheet name="Profile Frequency" sheetId="13" r:id="rId11"/>
    <sheet name="Number of patties" sheetId="12" r:id="rId12"/>
  </sheets>
  <definedNames>
    <definedName name="ExternalData_1" localSheetId="10" hidden="1">'Profile Frequency'!$A$1:$B$10</definedName>
    <definedName name="ExternalData_2" localSheetId="9" hidden="1">'Type of bread frequency'!$A$1:$B$5</definedName>
    <definedName name="ExternalData_2" localSheetId="8" hidden="1">'Type of Patty frequency '!$A$1:$B$5</definedName>
    <definedName name="FromArray_1">_xlfn.ANCHORARRAY('Market Prediction'!$S$18)</definedName>
    <definedName name="FromArray_2">_xlfn.ANCHORARRAY('Profile Frequency'!$D$23)</definedName>
  </definedNames>
  <calcPr calcId="191029"/>
  <pivotCaches>
    <pivotCache cacheId="3" r:id="rId13"/>
    <pivotCache cacheId="7" r:id="rId1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4" i="11" l="1"/>
  <c r="K44" i="11"/>
  <c r="L44" i="11"/>
  <c r="M44" i="11"/>
  <c r="N44" i="11"/>
  <c r="O44" i="11"/>
  <c r="P44" i="11"/>
  <c r="Q44" i="11"/>
  <c r="R44" i="11"/>
  <c r="S44" i="11" a="1"/>
  <c r="S44" i="11" s="1"/>
  <c r="S19" i="11" a="1"/>
  <c r="S19" i="11"/>
  <c r="S20" i="11" a="1"/>
  <c r="S20" i="11" s="1"/>
  <c r="S23" i="11" a="1"/>
  <c r="S23" i="11"/>
  <c r="S24" i="11" a="1"/>
  <c r="S24" i="11"/>
  <c r="S25" i="11" a="1"/>
  <c r="S25" i="11"/>
  <c r="S26" i="11" a="1"/>
  <c r="S26" i="11" s="1"/>
  <c r="S27" i="11" a="1"/>
  <c r="S27" i="11"/>
  <c r="S28" i="11" a="1"/>
  <c r="S28" i="11"/>
  <c r="S29" i="11" a="1"/>
  <c r="S29" i="11"/>
  <c r="S31" i="11" a="1"/>
  <c r="S31" i="11"/>
  <c r="S32" i="11" a="1"/>
  <c r="S32" i="11" s="1"/>
  <c r="S33" i="11" a="1"/>
  <c r="S33" i="11"/>
  <c r="S34" i="11" a="1"/>
  <c r="S34" i="11"/>
  <c r="S35" i="11" a="1"/>
  <c r="S35" i="11"/>
  <c r="S36" i="11" a="1"/>
  <c r="S36" i="11" s="1"/>
  <c r="S37" i="11" a="1"/>
  <c r="S37" i="11"/>
  <c r="S38" i="11" a="1"/>
  <c r="S38" i="11" s="1"/>
  <c r="S39" i="11" a="1"/>
  <c r="S39" i="11"/>
  <c r="S40" i="11" a="1"/>
  <c r="S40" i="11"/>
  <c r="S41" i="11" a="1"/>
  <c r="S41" i="11"/>
  <c r="S42" i="11" a="1"/>
  <c r="S42" i="11"/>
  <c r="S43" i="11" a="1"/>
  <c r="S43" i="11"/>
  <c r="S45" i="11" a="1"/>
  <c r="S45" i="11"/>
  <c r="S47" i="11" a="1"/>
  <c r="S47" i="11"/>
  <c r="S48" i="11" a="1"/>
  <c r="S48" i="11"/>
  <c r="S49" i="11" a="1"/>
  <c r="S49" i="11"/>
  <c r="S50" i="11" a="1"/>
  <c r="S50" i="11" s="1"/>
  <c r="S51" i="11" a="1"/>
  <c r="S51" i="11"/>
  <c r="S52" i="11" a="1"/>
  <c r="S52" i="11"/>
  <c r="S53" i="11" a="1"/>
  <c r="S53" i="11"/>
  <c r="S54" i="11" a="1"/>
  <c r="S54" i="11"/>
  <c r="S55" i="11" a="1"/>
  <c r="S55" i="11"/>
  <c r="S56" i="11" a="1"/>
  <c r="S56" i="11" s="1"/>
  <c r="S57" i="11" a="1"/>
  <c r="S57" i="11"/>
  <c r="S58" i="11" a="1"/>
  <c r="S58" i="11"/>
  <c r="S59" i="11" a="1"/>
  <c r="S59" i="11"/>
  <c r="S60" i="11" a="1"/>
  <c r="S60" i="11"/>
  <c r="S61" i="11" a="1"/>
  <c r="S61" i="11"/>
  <c r="S63" i="11" a="1"/>
  <c r="S63" i="11"/>
  <c r="S64" i="11" a="1"/>
  <c r="S64" i="11"/>
  <c r="S65" i="11" a="1"/>
  <c r="S65" i="11"/>
  <c r="S66" i="11" a="1"/>
  <c r="S66" i="11"/>
  <c r="S67" i="11" a="1"/>
  <c r="S67" i="11"/>
  <c r="S68" i="11" a="1"/>
  <c r="S68" i="11" s="1"/>
  <c r="S69" i="11" a="1"/>
  <c r="S69" i="11"/>
  <c r="S70" i="11" a="1"/>
  <c r="S70" i="11"/>
  <c r="S71" i="11" a="1"/>
  <c r="S71" i="11"/>
  <c r="S72" i="11" a="1"/>
  <c r="S72" i="11"/>
  <c r="S73" i="11" a="1"/>
  <c r="S73" i="11"/>
  <c r="S74" i="11" a="1"/>
  <c r="S74" i="11" s="1"/>
  <c r="S75" i="11" a="1"/>
  <c r="S75" i="11"/>
  <c r="S76" i="11" a="1"/>
  <c r="S76" i="11"/>
  <c r="S77" i="11" a="1"/>
  <c r="S77" i="11"/>
  <c r="S78" i="11" a="1"/>
  <c r="S78" i="11"/>
  <c r="S79" i="11" a="1"/>
  <c r="S79" i="11"/>
  <c r="S18" i="11" a="1"/>
  <c r="S18" i="11" s="1"/>
  <c r="B45" i="10" a="1"/>
  <c r="B45" i="10" s="1"/>
  <c r="J40" i="11"/>
  <c r="C46" i="10" a="1"/>
  <c r="C46" i="10" s="1"/>
  <c r="D46" i="10" a="1"/>
  <c r="D46" i="10"/>
  <c r="E46" i="10" a="1"/>
  <c r="E46" i="10"/>
  <c r="F46" i="10" a="1"/>
  <c r="F46" i="10"/>
  <c r="G46" i="10" a="1"/>
  <c r="G46" i="10"/>
  <c r="H46" i="10" a="1"/>
  <c r="H46" i="10"/>
  <c r="I46" i="10" a="1"/>
  <c r="I46" i="10" s="1"/>
  <c r="J46" i="10" a="1"/>
  <c r="J46" i="10"/>
  <c r="K46" i="10" a="1"/>
  <c r="K46" i="10"/>
  <c r="L46" i="10" a="1"/>
  <c r="L46" i="10"/>
  <c r="M46" i="10" a="1"/>
  <c r="M46" i="10"/>
  <c r="N46" i="10" a="1"/>
  <c r="N46" i="10"/>
  <c r="O46" i="10" a="1"/>
  <c r="O46" i="10" s="1"/>
  <c r="P46" i="10" a="1"/>
  <c r="P46" i="10"/>
  <c r="Q46" i="10" a="1"/>
  <c r="Q46" i="10"/>
  <c r="R46" i="10" a="1"/>
  <c r="R46" i="10"/>
  <c r="S46" i="10" a="1"/>
  <c r="S46" i="10"/>
  <c r="T46" i="10" a="1"/>
  <c r="T46" i="10"/>
  <c r="U46" i="10" a="1"/>
  <c r="U46" i="10" s="1"/>
  <c r="V46" i="10" a="1"/>
  <c r="V46" i="10"/>
  <c r="W46" i="10" a="1"/>
  <c r="W46" i="10"/>
  <c r="X46" i="10" a="1"/>
  <c r="X46" i="10"/>
  <c r="Y46" i="10" a="1"/>
  <c r="Y46" i="10"/>
  <c r="Z46" i="10" a="1"/>
  <c r="Z46" i="10"/>
  <c r="AA46" i="10" a="1"/>
  <c r="AA46" i="10" s="1"/>
  <c r="AB46" i="10" a="1"/>
  <c r="AB46" i="10"/>
  <c r="AC46" i="10" a="1"/>
  <c r="AC46" i="10"/>
  <c r="AD46" i="10" a="1"/>
  <c r="AD46" i="10"/>
  <c r="AE46" i="10" a="1"/>
  <c r="AE46" i="10"/>
  <c r="AF46" i="10" a="1"/>
  <c r="AF46" i="10"/>
  <c r="AG46" i="10" a="1"/>
  <c r="AG46" i="10" s="1"/>
  <c r="AH46" i="10" a="1"/>
  <c r="AH46" i="10"/>
  <c r="AI46" i="10" a="1"/>
  <c r="AI46" i="10"/>
  <c r="AJ46" i="10" a="1"/>
  <c r="AJ46" i="10"/>
  <c r="AK46" i="10" a="1"/>
  <c r="AK46" i="10"/>
  <c r="AL46" i="10" a="1"/>
  <c r="AL46" i="10"/>
  <c r="AM46" i="10" a="1"/>
  <c r="AM46" i="10" s="1"/>
  <c r="AN46" i="10" a="1"/>
  <c r="AN46" i="10"/>
  <c r="AO46" i="10" a="1"/>
  <c r="AO46" i="10"/>
  <c r="AP46" i="10" a="1"/>
  <c r="AP46" i="10"/>
  <c r="AQ46" i="10" a="1"/>
  <c r="AQ46" i="10"/>
  <c r="AR46" i="10" a="1"/>
  <c r="AR46" i="10"/>
  <c r="AS46" i="10" a="1"/>
  <c r="AS46" i="10" s="1"/>
  <c r="AT46" i="10" a="1"/>
  <c r="AT46" i="10"/>
  <c r="AU46" i="10" a="1"/>
  <c r="AU46" i="10"/>
  <c r="AV46" i="10" a="1"/>
  <c r="AV46" i="10"/>
  <c r="AW46" i="10" a="1"/>
  <c r="AW46" i="10"/>
  <c r="AX46" i="10" a="1"/>
  <c r="AX46" i="10"/>
  <c r="AY46" i="10" a="1"/>
  <c r="AY46" i="10" s="1"/>
  <c r="AZ46" i="10" a="1"/>
  <c r="AZ46" i="10"/>
  <c r="BA46" i="10" a="1"/>
  <c r="BA46" i="10"/>
  <c r="BB46" i="10" a="1"/>
  <c r="BB46" i="10"/>
  <c r="BC46" i="10" a="1"/>
  <c r="BC46" i="10"/>
  <c r="BD46" i="10" a="1"/>
  <c r="BD46" i="10"/>
  <c r="BE46" i="10" a="1"/>
  <c r="BE46" i="10" s="1"/>
  <c r="BF46" i="10" a="1"/>
  <c r="BF46" i="10"/>
  <c r="BG46" i="10" a="1"/>
  <c r="BG46" i="10"/>
  <c r="BH46" i="10" a="1"/>
  <c r="BH46" i="10"/>
  <c r="BI46" i="10" a="1"/>
  <c r="BI46" i="10"/>
  <c r="BJ46" i="10" a="1"/>
  <c r="BJ46" i="10"/>
  <c r="BK46" i="10" a="1"/>
  <c r="BK46" i="10" s="1"/>
  <c r="B46" i="10" a="1"/>
  <c r="B46" i="10" s="1"/>
  <c r="D45" i="10" a="1"/>
  <c r="D45" i="10" s="1"/>
  <c r="E45" i="10" a="1"/>
  <c r="E45" i="10"/>
  <c r="F45" i="10" a="1"/>
  <c r="F45" i="10"/>
  <c r="G45" i="10" a="1"/>
  <c r="G45" i="10"/>
  <c r="H45" i="10" a="1"/>
  <c r="H45" i="10"/>
  <c r="I45" i="10" a="1"/>
  <c r="I45" i="10"/>
  <c r="J45" i="10" a="1"/>
  <c r="J45" i="10" s="1"/>
  <c r="K45" i="10" a="1"/>
  <c r="K45" i="10"/>
  <c r="L45" i="10" a="1"/>
  <c r="L45" i="10"/>
  <c r="M45" i="10" a="1"/>
  <c r="M45" i="10"/>
  <c r="N45" i="10" a="1"/>
  <c r="N45" i="10"/>
  <c r="O45" i="10" a="1"/>
  <c r="O45" i="10"/>
  <c r="P45" i="10" a="1"/>
  <c r="P45" i="10" s="1"/>
  <c r="Q45" i="10" a="1"/>
  <c r="Q45" i="10" s="1"/>
  <c r="R45" i="10" a="1"/>
  <c r="R45" i="10"/>
  <c r="S45" i="10" a="1"/>
  <c r="S45" i="10"/>
  <c r="T45" i="10" a="1"/>
  <c r="T45" i="10"/>
  <c r="U45" i="10" a="1"/>
  <c r="U45" i="10"/>
  <c r="V45" i="10" a="1"/>
  <c r="V45" i="10" s="1"/>
  <c r="W45" i="10" a="1"/>
  <c r="W45" i="10"/>
  <c r="X45" i="10" a="1"/>
  <c r="X45" i="10"/>
  <c r="Y45" i="10" a="1"/>
  <c r="Y45" i="10"/>
  <c r="Z45" i="10" a="1"/>
  <c r="Z45" i="10"/>
  <c r="AA45" i="10" a="1"/>
  <c r="AA45" i="10"/>
  <c r="AB45" i="10" a="1"/>
  <c r="AB45" i="10" s="1"/>
  <c r="AC45" i="10" a="1"/>
  <c r="AC45" i="10"/>
  <c r="AD45" i="10" a="1"/>
  <c r="AD45" i="10"/>
  <c r="AE45" i="10" a="1"/>
  <c r="AE45" i="10"/>
  <c r="AF45" i="10" a="1"/>
  <c r="AF45" i="10"/>
  <c r="AG45" i="10" a="1"/>
  <c r="AG45" i="10"/>
  <c r="AH45" i="10" a="1"/>
  <c r="AH45" i="10" s="1"/>
  <c r="AI45" i="10" a="1"/>
  <c r="AI45" i="10"/>
  <c r="AJ45" i="10" a="1"/>
  <c r="AJ45" i="10"/>
  <c r="AK45" i="10" a="1"/>
  <c r="AK45" i="10"/>
  <c r="AL45" i="10" a="1"/>
  <c r="AL45" i="10"/>
  <c r="AM45" i="10" a="1"/>
  <c r="AM45" i="10"/>
  <c r="AN45" i="10" a="1"/>
  <c r="AN45" i="10" s="1"/>
  <c r="AO45" i="10" a="1"/>
  <c r="AO45" i="10"/>
  <c r="AP45" i="10" a="1"/>
  <c r="AP45" i="10"/>
  <c r="AQ45" i="10" a="1"/>
  <c r="AQ45" i="10"/>
  <c r="AR45" i="10" a="1"/>
  <c r="AR45" i="10"/>
  <c r="AS45" i="10" a="1"/>
  <c r="AS45" i="10"/>
  <c r="AT45" i="10" a="1"/>
  <c r="AT45" i="10" s="1"/>
  <c r="AU45" i="10" a="1"/>
  <c r="AU45" i="10"/>
  <c r="AV45" i="10" a="1"/>
  <c r="AV45" i="10"/>
  <c r="AW45" i="10" a="1"/>
  <c r="AW45" i="10"/>
  <c r="AX45" i="10" a="1"/>
  <c r="AX45" i="10"/>
  <c r="AY45" i="10" a="1"/>
  <c r="AY45" i="10"/>
  <c r="AZ45" i="10" a="1"/>
  <c r="AZ45" i="10" s="1"/>
  <c r="BA45" i="10" a="1"/>
  <c r="BA45" i="10"/>
  <c r="BB45" i="10" a="1"/>
  <c r="BB45" i="10"/>
  <c r="BC45" i="10" a="1"/>
  <c r="BC45" i="10"/>
  <c r="BD45" i="10" a="1"/>
  <c r="BD45" i="10"/>
  <c r="BE45" i="10" a="1"/>
  <c r="BE45" i="10"/>
  <c r="BF45" i="10" a="1"/>
  <c r="BF45" i="10" s="1"/>
  <c r="BG45" i="10" a="1"/>
  <c r="BG45" i="10"/>
  <c r="BH45" i="10" a="1"/>
  <c r="BH45" i="10"/>
  <c r="BI45" i="10" a="1"/>
  <c r="BI45" i="10"/>
  <c r="BJ45" i="10" a="1"/>
  <c r="BJ45" i="10"/>
  <c r="BK45" i="10" a="1"/>
  <c r="BK45" i="10"/>
  <c r="C45" i="10" a="1"/>
  <c r="C45" i="10" s="1"/>
  <c r="R19" i="11"/>
  <c r="R20" i="11"/>
  <c r="R23" i="11"/>
  <c r="R24" i="11"/>
  <c r="R25" i="11"/>
  <c r="R26" i="11"/>
  <c r="R27" i="11"/>
  <c r="R28" i="11"/>
  <c r="R29" i="11"/>
  <c r="R31" i="11"/>
  <c r="R32" i="11"/>
  <c r="R33" i="11"/>
  <c r="R34" i="11"/>
  <c r="R35" i="11"/>
  <c r="R36" i="11"/>
  <c r="R37" i="11"/>
  <c r="R38" i="11"/>
  <c r="R39" i="11"/>
  <c r="R40" i="11"/>
  <c r="R41" i="11"/>
  <c r="R42" i="11"/>
  <c r="R43" i="11"/>
  <c r="R45" i="11"/>
  <c r="R47" i="11"/>
  <c r="R48" i="11"/>
  <c r="R49" i="11"/>
  <c r="R50" i="11"/>
  <c r="R51" i="11"/>
  <c r="R52" i="11"/>
  <c r="R53" i="11"/>
  <c r="R54" i="11"/>
  <c r="R55" i="11"/>
  <c r="R56" i="11"/>
  <c r="R57" i="11"/>
  <c r="R58" i="11"/>
  <c r="R59" i="11"/>
  <c r="R60" i="11"/>
  <c r="R61" i="11"/>
  <c r="R63" i="11"/>
  <c r="R64" i="11"/>
  <c r="R65" i="11"/>
  <c r="R66" i="11"/>
  <c r="R67" i="11"/>
  <c r="R68" i="11"/>
  <c r="R69" i="11"/>
  <c r="R70" i="11"/>
  <c r="R71" i="11"/>
  <c r="R72" i="11"/>
  <c r="R73" i="11"/>
  <c r="R74" i="11"/>
  <c r="R75" i="11"/>
  <c r="R76" i="11"/>
  <c r="R77" i="11"/>
  <c r="R78" i="11"/>
  <c r="R79" i="11"/>
  <c r="Q19" i="11"/>
  <c r="Q20" i="11"/>
  <c r="Q23" i="11"/>
  <c r="Q24" i="11"/>
  <c r="Q25" i="11"/>
  <c r="Q26" i="11"/>
  <c r="Q27" i="11"/>
  <c r="Q28" i="11"/>
  <c r="Q29" i="11"/>
  <c r="Q31" i="11"/>
  <c r="Q32" i="11"/>
  <c r="Q33" i="11"/>
  <c r="Q34" i="11"/>
  <c r="Q35" i="11"/>
  <c r="Q36" i="11"/>
  <c r="Q37" i="11"/>
  <c r="Q38" i="11"/>
  <c r="Q39" i="11"/>
  <c r="Q40" i="11"/>
  <c r="Q41" i="11"/>
  <c r="Q42" i="11"/>
  <c r="Q43" i="11"/>
  <c r="Q45" i="11"/>
  <c r="Q47" i="11"/>
  <c r="Q48" i="11"/>
  <c r="Q49" i="11"/>
  <c r="Q50" i="11"/>
  <c r="Q51" i="11"/>
  <c r="Q52" i="11"/>
  <c r="Q53" i="11"/>
  <c r="Q54" i="11"/>
  <c r="Q55" i="11"/>
  <c r="Q56" i="11"/>
  <c r="Q57" i="11"/>
  <c r="Q58" i="11"/>
  <c r="Q59" i="11"/>
  <c r="Q60" i="11"/>
  <c r="Q61" i="11"/>
  <c r="Q63" i="11"/>
  <c r="Q64" i="11"/>
  <c r="Q65" i="11"/>
  <c r="Q66" i="11"/>
  <c r="Q67" i="11"/>
  <c r="Q68" i="11"/>
  <c r="Q69" i="11"/>
  <c r="Q70" i="11"/>
  <c r="Q71" i="11"/>
  <c r="Q72" i="11"/>
  <c r="Q73" i="11"/>
  <c r="Q74" i="11"/>
  <c r="Q75" i="11"/>
  <c r="Q76" i="11"/>
  <c r="Q77" i="11"/>
  <c r="Q78" i="11"/>
  <c r="Q79" i="11"/>
  <c r="P19" i="11"/>
  <c r="P20" i="11"/>
  <c r="P23" i="11"/>
  <c r="P24" i="11"/>
  <c r="P25" i="11"/>
  <c r="P26" i="11"/>
  <c r="P27" i="11"/>
  <c r="P28" i="11"/>
  <c r="P29" i="11"/>
  <c r="P31" i="11"/>
  <c r="P32" i="11"/>
  <c r="P33" i="11"/>
  <c r="P34" i="11"/>
  <c r="P35" i="11"/>
  <c r="P36" i="11"/>
  <c r="P37" i="11"/>
  <c r="P38" i="11"/>
  <c r="P39" i="11"/>
  <c r="P40" i="11"/>
  <c r="P41" i="11"/>
  <c r="P42" i="11"/>
  <c r="P43" i="11"/>
  <c r="P45" i="11"/>
  <c r="P47" i="11"/>
  <c r="P48" i="11"/>
  <c r="P49" i="11"/>
  <c r="P50" i="11"/>
  <c r="P51" i="11"/>
  <c r="P52" i="11"/>
  <c r="P53" i="11"/>
  <c r="P54" i="11"/>
  <c r="P55" i="11"/>
  <c r="P56" i="11"/>
  <c r="P57" i="11"/>
  <c r="P58" i="11"/>
  <c r="P59" i="11"/>
  <c r="P60" i="11"/>
  <c r="P61" i="11"/>
  <c r="P63" i="11"/>
  <c r="P64" i="11"/>
  <c r="P65" i="11"/>
  <c r="P66" i="11"/>
  <c r="P67" i="11"/>
  <c r="P68" i="11"/>
  <c r="P69" i="11"/>
  <c r="P70" i="11"/>
  <c r="P71" i="11"/>
  <c r="P72" i="11"/>
  <c r="P73" i="11"/>
  <c r="P74" i="11"/>
  <c r="P75" i="11"/>
  <c r="P76" i="11"/>
  <c r="P77" i="11"/>
  <c r="P78" i="11"/>
  <c r="P79" i="11"/>
  <c r="O19" i="11"/>
  <c r="O20" i="11"/>
  <c r="O23" i="11"/>
  <c r="O24" i="11"/>
  <c r="O25" i="11"/>
  <c r="O26" i="11"/>
  <c r="O27" i="11"/>
  <c r="O28" i="11"/>
  <c r="O29" i="11"/>
  <c r="O31" i="11"/>
  <c r="O32" i="11"/>
  <c r="O33" i="11"/>
  <c r="O34" i="11"/>
  <c r="O35" i="11"/>
  <c r="O36" i="11"/>
  <c r="O37" i="11"/>
  <c r="O38" i="11"/>
  <c r="O39" i="11"/>
  <c r="O40" i="11"/>
  <c r="O41" i="11"/>
  <c r="O42" i="11"/>
  <c r="O43" i="11"/>
  <c r="O45" i="11"/>
  <c r="O47" i="11"/>
  <c r="O48" i="11"/>
  <c r="O49" i="11"/>
  <c r="O50" i="11"/>
  <c r="O51" i="11"/>
  <c r="O52" i="11"/>
  <c r="O53" i="11"/>
  <c r="O54" i="11"/>
  <c r="O55" i="11"/>
  <c r="O56" i="11"/>
  <c r="O57" i="11"/>
  <c r="O58" i="11"/>
  <c r="O59" i="11"/>
  <c r="O60" i="11"/>
  <c r="O61" i="11"/>
  <c r="O63" i="11"/>
  <c r="O64" i="11"/>
  <c r="O65" i="11"/>
  <c r="O66" i="11"/>
  <c r="O67" i="11"/>
  <c r="O68" i="11"/>
  <c r="O69" i="11"/>
  <c r="O70" i="11"/>
  <c r="O71" i="11"/>
  <c r="O72" i="11"/>
  <c r="O73" i="11"/>
  <c r="O74" i="11"/>
  <c r="O75" i="11"/>
  <c r="O76" i="11"/>
  <c r="O77" i="11"/>
  <c r="O78" i="11"/>
  <c r="O79" i="11"/>
  <c r="N19" i="11"/>
  <c r="N20" i="11"/>
  <c r="N23" i="11"/>
  <c r="N24" i="11"/>
  <c r="N25" i="11"/>
  <c r="N26" i="11"/>
  <c r="N27" i="11"/>
  <c r="N28" i="11"/>
  <c r="N29" i="11"/>
  <c r="N31" i="11"/>
  <c r="N32" i="11"/>
  <c r="N33" i="11"/>
  <c r="N34" i="11"/>
  <c r="N35" i="11"/>
  <c r="N36" i="11"/>
  <c r="N37" i="11"/>
  <c r="N38" i="11"/>
  <c r="N39" i="11"/>
  <c r="N40" i="11"/>
  <c r="N41" i="11"/>
  <c r="N42" i="11"/>
  <c r="N43" i="11"/>
  <c r="N45" i="11"/>
  <c r="N47" i="11"/>
  <c r="N48" i="11"/>
  <c r="N49" i="11"/>
  <c r="N50" i="11"/>
  <c r="N51" i="11"/>
  <c r="N52" i="11"/>
  <c r="N53" i="11"/>
  <c r="N54" i="11"/>
  <c r="N55" i="11"/>
  <c r="N56" i="11"/>
  <c r="N57" i="11"/>
  <c r="N58" i="11"/>
  <c r="N59" i="11"/>
  <c r="N60" i="11"/>
  <c r="N61" i="11"/>
  <c r="N63" i="11"/>
  <c r="N64" i="11"/>
  <c r="N65" i="11"/>
  <c r="N66" i="11"/>
  <c r="N67" i="11"/>
  <c r="N68" i="11"/>
  <c r="N69" i="11"/>
  <c r="N70" i="11"/>
  <c r="N71" i="11"/>
  <c r="N72" i="11"/>
  <c r="N73" i="11"/>
  <c r="N74" i="11"/>
  <c r="N75" i="11"/>
  <c r="N76" i="11"/>
  <c r="N77" i="11"/>
  <c r="N78" i="11"/>
  <c r="N79" i="11"/>
  <c r="M19" i="11"/>
  <c r="M20" i="11"/>
  <c r="M23" i="11"/>
  <c r="M24" i="11"/>
  <c r="M25" i="11"/>
  <c r="M26" i="11"/>
  <c r="M27" i="11"/>
  <c r="M28" i="11"/>
  <c r="M29" i="11"/>
  <c r="M31" i="11"/>
  <c r="M32" i="11"/>
  <c r="M33" i="11"/>
  <c r="M34" i="11"/>
  <c r="M35" i="11"/>
  <c r="M36" i="11"/>
  <c r="M37" i="11"/>
  <c r="M38" i="11"/>
  <c r="M39" i="11"/>
  <c r="M40" i="11"/>
  <c r="M41" i="11"/>
  <c r="M42" i="11"/>
  <c r="M43" i="11"/>
  <c r="M45" i="11"/>
  <c r="M47" i="11"/>
  <c r="M48" i="11"/>
  <c r="M49" i="11"/>
  <c r="M50" i="11"/>
  <c r="M51" i="11"/>
  <c r="M52" i="11"/>
  <c r="M53" i="11"/>
  <c r="M54" i="11"/>
  <c r="M55" i="11"/>
  <c r="M56" i="11"/>
  <c r="M57" i="11"/>
  <c r="M58" i="11"/>
  <c r="M59" i="11"/>
  <c r="M60" i="11"/>
  <c r="M61" i="11"/>
  <c r="M63" i="11"/>
  <c r="M64" i="11"/>
  <c r="M65" i="11"/>
  <c r="M66" i="11"/>
  <c r="M67" i="11"/>
  <c r="M68" i="11"/>
  <c r="M69" i="11"/>
  <c r="M70" i="11"/>
  <c r="M71" i="11"/>
  <c r="M72" i="11"/>
  <c r="M73" i="11"/>
  <c r="M74" i="11"/>
  <c r="M75" i="11"/>
  <c r="M76" i="11"/>
  <c r="M77" i="11"/>
  <c r="M78" i="11"/>
  <c r="M79" i="11"/>
  <c r="L19" i="11"/>
  <c r="L20" i="11"/>
  <c r="L23" i="11"/>
  <c r="L24" i="11"/>
  <c r="L25" i="11"/>
  <c r="L26" i="11"/>
  <c r="L27" i="11"/>
  <c r="L28" i="11"/>
  <c r="L29" i="11"/>
  <c r="L31" i="11"/>
  <c r="L32" i="11"/>
  <c r="L33" i="11"/>
  <c r="L34" i="11"/>
  <c r="L35" i="11"/>
  <c r="L36" i="11"/>
  <c r="L37" i="11"/>
  <c r="L38" i="11"/>
  <c r="L39" i="11"/>
  <c r="L40" i="11"/>
  <c r="L41" i="11"/>
  <c r="L42" i="11"/>
  <c r="L43" i="11"/>
  <c r="L45" i="11"/>
  <c r="L47" i="11"/>
  <c r="L48" i="11"/>
  <c r="L49" i="11"/>
  <c r="L50" i="11"/>
  <c r="L51" i="11"/>
  <c r="L52" i="11"/>
  <c r="L53" i="11"/>
  <c r="L54" i="11"/>
  <c r="L55" i="11"/>
  <c r="L56" i="11"/>
  <c r="L57" i="11"/>
  <c r="L58" i="11"/>
  <c r="L59" i="11"/>
  <c r="L60" i="11"/>
  <c r="L61" i="11"/>
  <c r="L63" i="11"/>
  <c r="L64" i="11"/>
  <c r="L65" i="11"/>
  <c r="L66" i="11"/>
  <c r="L67" i="11"/>
  <c r="L68" i="11"/>
  <c r="L69" i="11"/>
  <c r="L70" i="11"/>
  <c r="L71" i="11"/>
  <c r="L72" i="11"/>
  <c r="L73" i="11"/>
  <c r="L74" i="11"/>
  <c r="L75" i="11"/>
  <c r="L76" i="11"/>
  <c r="L77" i="11"/>
  <c r="L78" i="11"/>
  <c r="L79" i="11"/>
  <c r="K19" i="11"/>
  <c r="K20" i="11"/>
  <c r="K23" i="11"/>
  <c r="K24" i="11"/>
  <c r="K25" i="11"/>
  <c r="K26" i="11"/>
  <c r="K27" i="11"/>
  <c r="K28" i="11"/>
  <c r="K29" i="11"/>
  <c r="K31" i="11"/>
  <c r="K32" i="11"/>
  <c r="K33" i="11"/>
  <c r="K34" i="11"/>
  <c r="K35" i="11"/>
  <c r="K36" i="11"/>
  <c r="K37" i="11"/>
  <c r="K38" i="11"/>
  <c r="K39" i="11"/>
  <c r="K40" i="11"/>
  <c r="K41" i="11"/>
  <c r="K42" i="11"/>
  <c r="K43" i="11"/>
  <c r="K45" i="11"/>
  <c r="K47" i="11"/>
  <c r="K48" i="11"/>
  <c r="K49" i="11"/>
  <c r="K50" i="11"/>
  <c r="K51" i="11"/>
  <c r="K52" i="11"/>
  <c r="K53" i="11"/>
  <c r="K54" i="11"/>
  <c r="K55" i="11"/>
  <c r="K56" i="11"/>
  <c r="K57" i="11"/>
  <c r="K58" i="11"/>
  <c r="K59" i="11"/>
  <c r="K60" i="11"/>
  <c r="K61" i="11"/>
  <c r="K63" i="11"/>
  <c r="K64" i="11"/>
  <c r="K65" i="11"/>
  <c r="K66" i="11"/>
  <c r="K67" i="11"/>
  <c r="K68" i="11"/>
  <c r="K69" i="11"/>
  <c r="K70" i="11"/>
  <c r="K71" i="11"/>
  <c r="K72" i="11"/>
  <c r="K73" i="11"/>
  <c r="K74" i="11"/>
  <c r="K75" i="11"/>
  <c r="K76" i="11"/>
  <c r="K77" i="11"/>
  <c r="K78" i="11"/>
  <c r="K79" i="11"/>
  <c r="R18" i="11"/>
  <c r="Q18" i="11"/>
  <c r="P18" i="11"/>
  <c r="O18" i="11"/>
  <c r="N18" i="11"/>
  <c r="M18" i="11"/>
  <c r="L18" i="11"/>
  <c r="K18" i="11"/>
  <c r="J19" i="11"/>
  <c r="J20" i="11"/>
  <c r="J23" i="11"/>
  <c r="J24" i="11"/>
  <c r="J25" i="11"/>
  <c r="J26" i="11"/>
  <c r="J27" i="11"/>
  <c r="J28" i="11"/>
  <c r="J29" i="11"/>
  <c r="J31" i="11"/>
  <c r="J32" i="11"/>
  <c r="J33" i="11"/>
  <c r="J34" i="11"/>
  <c r="J35" i="11"/>
  <c r="J36" i="11"/>
  <c r="J37" i="11"/>
  <c r="J38" i="11"/>
  <c r="J39" i="11"/>
  <c r="J41" i="11"/>
  <c r="J42" i="11"/>
  <c r="J43" i="11"/>
  <c r="J45" i="11"/>
  <c r="J47" i="11"/>
  <c r="J48" i="11"/>
  <c r="J49" i="11"/>
  <c r="J50" i="11"/>
  <c r="J51" i="11"/>
  <c r="J52" i="11"/>
  <c r="J53" i="11"/>
  <c r="J54" i="11"/>
  <c r="J55" i="11"/>
  <c r="J56" i="11"/>
  <c r="J57" i="11"/>
  <c r="J58" i="11"/>
  <c r="J59" i="11"/>
  <c r="J60" i="11"/>
  <c r="J61" i="11"/>
  <c r="J63" i="11"/>
  <c r="J64" i="11"/>
  <c r="J65" i="11"/>
  <c r="J66" i="11"/>
  <c r="J67" i="11"/>
  <c r="J68" i="11"/>
  <c r="J69" i="11"/>
  <c r="J70" i="11"/>
  <c r="J71" i="11"/>
  <c r="J72" i="11"/>
  <c r="J73" i="11"/>
  <c r="J74" i="11"/>
  <c r="J75" i="11"/>
  <c r="J76" i="11"/>
  <c r="J77" i="11"/>
  <c r="J78" i="11"/>
  <c r="J79" i="11"/>
  <c r="J18" i="11"/>
  <c r="AA17" i="2"/>
  <c r="Z17" i="2"/>
  <c r="Y17" i="2"/>
  <c r="X17" i="2"/>
  <c r="W17" i="2"/>
  <c r="V17" i="2"/>
  <c r="U17" i="2"/>
  <c r="T17" i="2"/>
  <c r="AA16" i="2"/>
  <c r="Z16" i="2"/>
  <c r="Y16" i="2"/>
  <c r="X16" i="2"/>
  <c r="W16" i="2"/>
  <c r="V16" i="2"/>
  <c r="U16" i="2"/>
  <c r="T16" i="2"/>
  <c r="AA15" i="2"/>
  <c r="Z15" i="2"/>
  <c r="Y15" i="2"/>
  <c r="X15" i="2"/>
  <c r="W15" i="2"/>
  <c r="V15" i="2"/>
  <c r="U15" i="2"/>
  <c r="T15" i="2"/>
  <c r="AA14" i="2"/>
  <c r="Z14" i="2"/>
  <c r="Y14" i="2"/>
  <c r="X14" i="2"/>
  <c r="W14" i="2"/>
  <c r="V14" i="2"/>
  <c r="U14" i="2"/>
  <c r="T14" i="2"/>
  <c r="AA13" i="2"/>
  <c r="Z13" i="2"/>
  <c r="Y13" i="2"/>
  <c r="X13" i="2"/>
  <c r="W13" i="2"/>
  <c r="V13" i="2"/>
  <c r="U13" i="2"/>
  <c r="T13" i="2"/>
  <c r="AA12" i="2"/>
  <c r="Z12" i="2"/>
  <c r="Y12" i="2"/>
  <c r="X12" i="2"/>
  <c r="W12" i="2"/>
  <c r="V12" i="2"/>
  <c r="U12" i="2"/>
  <c r="T12" i="2"/>
  <c r="AA11" i="2"/>
  <c r="Z11" i="2"/>
  <c r="Y11" i="2"/>
  <c r="X11" i="2"/>
  <c r="W11" i="2"/>
  <c r="V11" i="2"/>
  <c r="U11" i="2"/>
  <c r="T11" i="2"/>
  <c r="AA10" i="2"/>
  <c r="Z10" i="2"/>
  <c r="Y10" i="2"/>
  <c r="X10" i="2"/>
  <c r="W10" i="2"/>
  <c r="V10" i="2"/>
  <c r="U10" i="2"/>
  <c r="T10" i="2"/>
  <c r="AA9" i="2"/>
  <c r="Z9" i="2"/>
  <c r="Y9" i="2"/>
  <c r="X9" i="2"/>
  <c r="W9" i="2"/>
  <c r="V9" i="2"/>
  <c r="U9" i="2"/>
  <c r="T9" i="2"/>
  <c r="C29" i="10"/>
  <c r="C35" i="10" s="1"/>
  <c r="D29" i="10"/>
  <c r="D35" i="10" s="1"/>
  <c r="E29" i="10"/>
  <c r="E32" i="10" s="1"/>
  <c r="E59" i="10" s="1"/>
  <c r="F29" i="10"/>
  <c r="F35" i="10" s="1"/>
  <c r="G29" i="10"/>
  <c r="G40" i="10" s="1"/>
  <c r="H29" i="10"/>
  <c r="H39" i="10" s="1"/>
  <c r="I29" i="10"/>
  <c r="I39" i="10" s="1"/>
  <c r="J29" i="10"/>
  <c r="J36" i="10" s="1"/>
  <c r="K29" i="10"/>
  <c r="K36" i="10" s="1"/>
  <c r="L29" i="10"/>
  <c r="L36" i="10" s="1"/>
  <c r="M29" i="10"/>
  <c r="M33" i="10" s="1"/>
  <c r="N29" i="10"/>
  <c r="N37" i="10" s="1"/>
  <c r="O29" i="10"/>
  <c r="O37" i="10" s="1"/>
  <c r="P29" i="10"/>
  <c r="P37" i="10" s="1"/>
  <c r="Q29" i="10"/>
  <c r="Q33" i="10" s="1"/>
  <c r="R29" i="10"/>
  <c r="R38" i="10" s="1"/>
  <c r="S29" i="10"/>
  <c r="S38" i="10" s="1"/>
  <c r="T29" i="10"/>
  <c r="T38" i="10" s="1"/>
  <c r="U29" i="10"/>
  <c r="U37" i="10" s="1"/>
  <c r="V29" i="10"/>
  <c r="V38" i="10" s="1"/>
  <c r="W29" i="10"/>
  <c r="W39" i="10" s="1"/>
  <c r="X29" i="10"/>
  <c r="X31" i="10" s="1"/>
  <c r="Y29" i="10"/>
  <c r="Y37" i="10" s="1"/>
  <c r="Z29" i="10"/>
  <c r="Z41" i="10" s="1"/>
  <c r="AA29" i="10"/>
  <c r="AA39" i="10" s="1"/>
  <c r="AB29" i="10"/>
  <c r="AB30" i="10" s="1"/>
  <c r="AC29" i="10"/>
  <c r="AC38" i="10" s="1"/>
  <c r="AD29" i="10"/>
  <c r="AD30" i="10" s="1"/>
  <c r="AD58" i="10" s="1"/>
  <c r="AE29" i="10"/>
  <c r="AE30" i="10" s="1"/>
  <c r="AF29" i="10"/>
  <c r="AF36" i="10" s="1"/>
  <c r="AG29" i="10"/>
  <c r="AG40" i="10" s="1"/>
  <c r="AH29" i="10"/>
  <c r="AH32" i="10" s="1"/>
  <c r="AI29" i="10"/>
  <c r="AI32" i="10" s="1"/>
  <c r="AJ29" i="10"/>
  <c r="AK29" i="10"/>
  <c r="AK34" i="10" s="1"/>
  <c r="AL29" i="10"/>
  <c r="AL32" i="10" s="1"/>
  <c r="AM29" i="10"/>
  <c r="AM37" i="10" s="1"/>
  <c r="AN29" i="10"/>
  <c r="AN32" i="10" s="1"/>
  <c r="AO29" i="10"/>
  <c r="AO39" i="10" s="1"/>
  <c r="AP29" i="10"/>
  <c r="AP32" i="10" s="1"/>
  <c r="AQ29" i="10"/>
  <c r="AQ32" i="10" s="1"/>
  <c r="AR29" i="10"/>
  <c r="AR30" i="10" s="1"/>
  <c r="AS29" i="10"/>
  <c r="AT29" i="10"/>
  <c r="AT40" i="10" s="1"/>
  <c r="AU29" i="10"/>
  <c r="AU41" i="10" s="1"/>
  <c r="AV29" i="10"/>
  <c r="AV30" i="10" s="1"/>
  <c r="AW29" i="10"/>
  <c r="AW41" i="10" s="1"/>
  <c r="AX29" i="10"/>
  <c r="AX35" i="10" s="1"/>
  <c r="AY29" i="10"/>
  <c r="AY35" i="10" s="1"/>
  <c r="AZ29" i="10"/>
  <c r="AZ35" i="10" s="1"/>
  <c r="BA29" i="10"/>
  <c r="BA32" i="10" s="1"/>
  <c r="BB29" i="10"/>
  <c r="BB35" i="10" s="1"/>
  <c r="BC29" i="10"/>
  <c r="BC32" i="10" s="1"/>
  <c r="BD29" i="10"/>
  <c r="BD32" i="10" s="1"/>
  <c r="BE29" i="10"/>
  <c r="BE36" i="10" s="1"/>
  <c r="BF29" i="10"/>
  <c r="BF41" i="10" s="1"/>
  <c r="BG29" i="10"/>
  <c r="BG41" i="10" s="1"/>
  <c r="BH29" i="10"/>
  <c r="BH40" i="10" s="1"/>
  <c r="BI29" i="10"/>
  <c r="BI30" i="10" s="1"/>
  <c r="BJ29" i="10"/>
  <c r="BJ38" i="10" s="1"/>
  <c r="BK29" i="10"/>
  <c r="BK33" i="10" s="1"/>
  <c r="B29" i="10"/>
  <c r="B38" i="10" s="1"/>
  <c r="O31" i="10" l="1"/>
  <c r="P31" i="10"/>
  <c r="G37" i="10"/>
  <c r="BC30" i="10"/>
  <c r="G30" i="10"/>
  <c r="F30" i="10"/>
  <c r="G39" i="10"/>
  <c r="BK31" i="10"/>
  <c r="B34" i="10"/>
  <c r="G31" i="10"/>
  <c r="AU31" i="10"/>
  <c r="G32" i="10"/>
  <c r="N30" i="10"/>
  <c r="BC31" i="10"/>
  <c r="BB30" i="10"/>
  <c r="F32" i="10"/>
  <c r="BB31" i="10"/>
  <c r="AT30" i="10"/>
  <c r="W33" i="10"/>
  <c r="AV31" i="10"/>
  <c r="AV58" i="10" s="1"/>
  <c r="O30" i="10"/>
  <c r="G33" i="10"/>
  <c r="AD31" i="10"/>
  <c r="AD43" i="10" s="1"/>
  <c r="BJ30" i="10"/>
  <c r="N32" i="10"/>
  <c r="K31" i="10"/>
  <c r="BJ31" i="10"/>
  <c r="AM31" i="10"/>
  <c r="F31" i="10"/>
  <c r="W30" i="10"/>
  <c r="BJ32" i="10"/>
  <c r="AL34" i="10"/>
  <c r="BE31" i="10"/>
  <c r="AL31" i="10"/>
  <c r="B30" i="10"/>
  <c r="V30" i="10"/>
  <c r="AD32" i="10"/>
  <c r="G34" i="10"/>
  <c r="AT31" i="10"/>
  <c r="BD31" i="10"/>
  <c r="AH31" i="10"/>
  <c r="BK30" i="10"/>
  <c r="S30" i="10"/>
  <c r="P32" i="10"/>
  <c r="G35" i="10"/>
  <c r="AD62" i="10"/>
  <c r="AD68" i="10" s="1"/>
  <c r="AD73" i="10" s="1"/>
  <c r="AS41" i="10"/>
  <c r="AS36" i="10"/>
  <c r="AS39" i="10"/>
  <c r="AS40" i="10"/>
  <c r="I30" i="10"/>
  <c r="AR32" i="10"/>
  <c r="Z32" i="10"/>
  <c r="BG33" i="10"/>
  <c r="AX33" i="10"/>
  <c r="AO33" i="10"/>
  <c r="AF33" i="10"/>
  <c r="D33" i="10"/>
  <c r="BD34" i="10"/>
  <c r="AU34" i="10"/>
  <c r="AC34" i="10"/>
  <c r="T34" i="10"/>
  <c r="J34" i="10"/>
  <c r="BJ35" i="10"/>
  <c r="AP35" i="10"/>
  <c r="AC35" i="10"/>
  <c r="O35" i="10"/>
  <c r="AY36" i="10"/>
  <c r="AN36" i="10"/>
  <c r="Z36" i="10"/>
  <c r="BJ37" i="10"/>
  <c r="AV37" i="10"/>
  <c r="AK37" i="10"/>
  <c r="W37" i="10"/>
  <c r="I37" i="10"/>
  <c r="BG38" i="10"/>
  <c r="AS38" i="10"/>
  <c r="AH38" i="10"/>
  <c r="F38" i="10"/>
  <c r="BD39" i="10"/>
  <c r="AP39" i="10"/>
  <c r="AE39" i="10"/>
  <c r="P39" i="10"/>
  <c r="BI40" i="10"/>
  <c r="AQ40" i="10"/>
  <c r="U40" i="10"/>
  <c r="AH41" i="10"/>
  <c r="I41" i="10"/>
  <c r="BA41" i="10"/>
  <c r="BA36" i="10"/>
  <c r="BA39" i="10"/>
  <c r="M41" i="10"/>
  <c r="M36" i="10"/>
  <c r="M39" i="10"/>
  <c r="M40" i="10"/>
  <c r="AZ41" i="10"/>
  <c r="AZ39" i="10"/>
  <c r="AZ31" i="10"/>
  <c r="AZ37" i="10"/>
  <c r="AJ41" i="10"/>
  <c r="AJ39" i="10"/>
  <c r="AJ31" i="10"/>
  <c r="AJ37" i="10"/>
  <c r="AB41" i="10"/>
  <c r="AB39" i="10"/>
  <c r="AB31" i="10"/>
  <c r="AB58" i="10" s="1"/>
  <c r="AB40" i="10"/>
  <c r="AB37" i="10"/>
  <c r="T41" i="10"/>
  <c r="T39" i="10"/>
  <c r="T31" i="10"/>
  <c r="T37" i="10"/>
  <c r="L41" i="10"/>
  <c r="L39" i="10"/>
  <c r="L31" i="10"/>
  <c r="L37" i="10"/>
  <c r="D41" i="10"/>
  <c r="D39" i="10"/>
  <c r="D31" i="10"/>
  <c r="D37" i="10"/>
  <c r="AC31" i="10"/>
  <c r="S31" i="10"/>
  <c r="J31" i="10"/>
  <c r="AS30" i="10"/>
  <c r="AJ30" i="10"/>
  <c r="AA30" i="10"/>
  <c r="Q30" i="10"/>
  <c r="H30" i="10"/>
  <c r="B35" i="10"/>
  <c r="BI32" i="10"/>
  <c r="AZ32" i="10"/>
  <c r="X32" i="10"/>
  <c r="O32" i="10"/>
  <c r="BF33" i="10"/>
  <c r="AW33" i="10"/>
  <c r="AN33" i="10"/>
  <c r="AE33" i="10"/>
  <c r="U33" i="10"/>
  <c r="L33" i="10"/>
  <c r="C33" i="10"/>
  <c r="BC34" i="10"/>
  <c r="AT34" i="10"/>
  <c r="AB34" i="10"/>
  <c r="R34" i="10"/>
  <c r="I34" i="10"/>
  <c r="BI35" i="10"/>
  <c r="AM35" i="10"/>
  <c r="AB35" i="10"/>
  <c r="N35" i="10"/>
  <c r="AX36" i="10"/>
  <c r="AJ36" i="10"/>
  <c r="Y36" i="10"/>
  <c r="BI37" i="10"/>
  <c r="AU37" i="10"/>
  <c r="AG37" i="10"/>
  <c r="V37" i="10"/>
  <c r="H37" i="10"/>
  <c r="BF38" i="10"/>
  <c r="AR38" i="10"/>
  <c r="AD38" i="10"/>
  <c r="E38" i="10"/>
  <c r="BC39" i="10"/>
  <c r="O39" i="10"/>
  <c r="AP40" i="10"/>
  <c r="T40" i="10"/>
  <c r="AG41" i="10"/>
  <c r="H41" i="10"/>
  <c r="AK41" i="10"/>
  <c r="AK40" i="10"/>
  <c r="AK36" i="10"/>
  <c r="AK39" i="10"/>
  <c r="AK30" i="10"/>
  <c r="BH41" i="10"/>
  <c r="BH39" i="10"/>
  <c r="BH31" i="10"/>
  <c r="BH37" i="10"/>
  <c r="BG34" i="10"/>
  <c r="BG37" i="10"/>
  <c r="BG40" i="10"/>
  <c r="AY34" i="10"/>
  <c r="AY37" i="10"/>
  <c r="AQ34" i="10"/>
  <c r="AQ37" i="10"/>
  <c r="AQ41" i="10"/>
  <c r="AI34" i="10"/>
  <c r="AI37" i="10"/>
  <c r="AI40" i="10"/>
  <c r="AA41" i="10"/>
  <c r="AA40" i="10"/>
  <c r="AA34" i="10"/>
  <c r="AA37" i="10"/>
  <c r="S34" i="10"/>
  <c r="S37" i="10"/>
  <c r="S40" i="10"/>
  <c r="K34" i="10"/>
  <c r="K37" i="10"/>
  <c r="K41" i="10"/>
  <c r="C34" i="10"/>
  <c r="C41" i="10"/>
  <c r="C37" i="10"/>
  <c r="C40" i="10"/>
  <c r="AK31" i="10"/>
  <c r="AA31" i="10"/>
  <c r="R31" i="10"/>
  <c r="I31" i="10"/>
  <c r="BA30" i="10"/>
  <c r="AI30" i="10"/>
  <c r="Y30" i="10"/>
  <c r="P30" i="10"/>
  <c r="B36" i="10"/>
  <c r="BH32" i="10"/>
  <c r="AY32" i="10"/>
  <c r="AF32" i="10"/>
  <c r="W32" i="10"/>
  <c r="BE33" i="10"/>
  <c r="AV33" i="10"/>
  <c r="AM33" i="10"/>
  <c r="AC33" i="10"/>
  <c r="T33" i="10"/>
  <c r="K33" i="10"/>
  <c r="BK34" i="10"/>
  <c r="BB34" i="10"/>
  <c r="AS34" i="10"/>
  <c r="AJ34" i="10"/>
  <c r="Z34" i="10"/>
  <c r="Q34" i="10"/>
  <c r="H34" i="10"/>
  <c r="BH35" i="10"/>
  <c r="AL35" i="10"/>
  <c r="AA35" i="10"/>
  <c r="M35" i="10"/>
  <c r="BH36" i="10"/>
  <c r="AW36" i="10"/>
  <c r="AI36" i="10"/>
  <c r="X36" i="10"/>
  <c r="BE37" i="10"/>
  <c r="AT37" i="10"/>
  <c r="AF37" i="10"/>
  <c r="BB38" i="10"/>
  <c r="AQ38" i="10"/>
  <c r="D38" i="10"/>
  <c r="AY39" i="10"/>
  <c r="AN39" i="10"/>
  <c r="Z39" i="10"/>
  <c r="K39" i="10"/>
  <c r="BD40" i="10"/>
  <c r="AJ40" i="10"/>
  <c r="N40" i="10"/>
  <c r="AY41" i="10"/>
  <c r="AC41" i="10"/>
  <c r="AC36" i="10"/>
  <c r="AC39" i="10"/>
  <c r="AC40" i="10"/>
  <c r="AR41" i="10"/>
  <c r="AR39" i="10"/>
  <c r="AR31" i="10"/>
  <c r="AR58" i="10" s="1"/>
  <c r="AR37" i="10"/>
  <c r="BF37" i="10"/>
  <c r="BF30" i="10"/>
  <c r="BF40" i="10"/>
  <c r="AX37" i="10"/>
  <c r="AX30" i="10"/>
  <c r="AX40" i="10"/>
  <c r="AX41" i="10"/>
  <c r="AP37" i="10"/>
  <c r="AP30" i="10"/>
  <c r="AP41" i="10"/>
  <c r="AH37" i="10"/>
  <c r="AH30" i="10"/>
  <c r="AH35" i="10"/>
  <c r="Z37" i="10"/>
  <c r="Z30" i="10"/>
  <c r="Z35" i="10"/>
  <c r="R37" i="10"/>
  <c r="R30" i="10"/>
  <c r="R40" i="10"/>
  <c r="R41" i="10"/>
  <c r="R35" i="10"/>
  <c r="R39" i="10"/>
  <c r="J37" i="10"/>
  <c r="J30" i="10"/>
  <c r="J35" i="10"/>
  <c r="J39" i="10"/>
  <c r="AS31" i="10"/>
  <c r="AI31" i="10"/>
  <c r="Z31" i="10"/>
  <c r="Q31" i="10"/>
  <c r="H31" i="10"/>
  <c r="AZ30" i="10"/>
  <c r="AQ30" i="10"/>
  <c r="AG30" i="10"/>
  <c r="X30" i="10"/>
  <c r="B37" i="10"/>
  <c r="BG32" i="10"/>
  <c r="BG44" i="10" s="1"/>
  <c r="AX32" i="10"/>
  <c r="AX44" i="10" s="1"/>
  <c r="AE32" i="10"/>
  <c r="V32" i="10"/>
  <c r="M32" i="10"/>
  <c r="D32" i="10"/>
  <c r="D44" i="10" s="1"/>
  <c r="BD33" i="10"/>
  <c r="AU33" i="10"/>
  <c r="AK33" i="10"/>
  <c r="AB33" i="10"/>
  <c r="S33" i="10"/>
  <c r="J33" i="10"/>
  <c r="BJ34" i="10"/>
  <c r="BA34" i="10"/>
  <c r="AR34" i="10"/>
  <c r="AH34" i="10"/>
  <c r="Y34" i="10"/>
  <c r="P34" i="10"/>
  <c r="BG35" i="10"/>
  <c r="AU35" i="10"/>
  <c r="AK35" i="10"/>
  <c r="AK48" i="10" s="1"/>
  <c r="AK49" i="10" s="1"/>
  <c r="W35" i="10"/>
  <c r="L35" i="10"/>
  <c r="BG36" i="10"/>
  <c r="AV36" i="10"/>
  <c r="AH36" i="10"/>
  <c r="T36" i="10"/>
  <c r="I36" i="10"/>
  <c r="BD37" i="10"/>
  <c r="AS37" i="10"/>
  <c r="AE37" i="10"/>
  <c r="Q37" i="10"/>
  <c r="F37" i="10"/>
  <c r="BA38" i="10"/>
  <c r="AP38" i="10"/>
  <c r="AB38" i="10"/>
  <c r="N38" i="10"/>
  <c r="C38" i="10"/>
  <c r="AX39" i="10"/>
  <c r="AM39" i="10"/>
  <c r="Y39" i="10"/>
  <c r="BA40" i="10"/>
  <c r="AH40" i="10"/>
  <c r="L40" i="10"/>
  <c r="X41" i="10"/>
  <c r="BI41" i="10"/>
  <c r="BI36" i="10"/>
  <c r="BI39" i="10"/>
  <c r="U41" i="10"/>
  <c r="U36" i="10"/>
  <c r="U39" i="10"/>
  <c r="E41" i="10"/>
  <c r="E40" i="10"/>
  <c r="E36" i="10"/>
  <c r="E39" i="10"/>
  <c r="U31" i="10"/>
  <c r="AW32" i="10"/>
  <c r="AW40" i="10"/>
  <c r="AW35" i="10"/>
  <c r="AW38" i="10"/>
  <c r="AO41" i="10"/>
  <c r="AO32" i="10"/>
  <c r="AO35" i="10"/>
  <c r="AO40" i="10"/>
  <c r="AO38" i="10"/>
  <c r="I32" i="10"/>
  <c r="I35" i="10"/>
  <c r="I40" i="10"/>
  <c r="I38" i="10"/>
  <c r="BA31" i="10"/>
  <c r="AQ31" i="10"/>
  <c r="BH30" i="10"/>
  <c r="AY30" i="10"/>
  <c r="AO30" i="10"/>
  <c r="AF30" i="10"/>
  <c r="E30" i="10"/>
  <c r="BF32" i="10"/>
  <c r="AV32" i="10"/>
  <c r="AM32" i="10"/>
  <c r="U32" i="10"/>
  <c r="L32" i="10"/>
  <c r="C32" i="10"/>
  <c r="BC33" i="10"/>
  <c r="BC59" i="10" s="1"/>
  <c r="AS33" i="10"/>
  <c r="AJ33" i="10"/>
  <c r="AA33" i="10"/>
  <c r="R33" i="10"/>
  <c r="I33" i="10"/>
  <c r="BI34" i="10"/>
  <c r="AZ34" i="10"/>
  <c r="AP34" i="10"/>
  <c r="AG34" i="10"/>
  <c r="X34" i="10"/>
  <c r="O34" i="10"/>
  <c r="F34" i="10"/>
  <c r="BF35" i="10"/>
  <c r="AT35" i="10"/>
  <c r="AJ35" i="10"/>
  <c r="V35" i="10"/>
  <c r="K35" i="10"/>
  <c r="BF36" i="10"/>
  <c r="AR36" i="10"/>
  <c r="AG36" i="10"/>
  <c r="S36" i="10"/>
  <c r="H36" i="10"/>
  <c r="BC37" i="10"/>
  <c r="AO37" i="10"/>
  <c r="AD37" i="10"/>
  <c r="E37" i="10"/>
  <c r="AZ38" i="10"/>
  <c r="AL38" i="10"/>
  <c r="AA38" i="10"/>
  <c r="M38" i="10"/>
  <c r="BK39" i="10"/>
  <c r="AW39" i="10"/>
  <c r="AI39" i="10"/>
  <c r="X39" i="10"/>
  <c r="AZ40" i="10"/>
  <c r="K40" i="10"/>
  <c r="AV41" i="10"/>
  <c r="W41" i="10"/>
  <c r="AG32" i="10"/>
  <c r="AG35" i="10"/>
  <c r="AG38" i="10"/>
  <c r="B31" i="10"/>
  <c r="B40" i="10"/>
  <c r="B33" i="10"/>
  <c r="AN40" i="10"/>
  <c r="AN35" i="10"/>
  <c r="AN38" i="10"/>
  <c r="H40" i="10"/>
  <c r="H35" i="10"/>
  <c r="H38" i="10"/>
  <c r="AP31" i="10"/>
  <c r="BG30" i="10"/>
  <c r="AW30" i="10"/>
  <c r="AN30" i="10"/>
  <c r="M30" i="10"/>
  <c r="D30" i="10"/>
  <c r="B39" i="10"/>
  <c r="AU32" i="10"/>
  <c r="AC32" i="10"/>
  <c r="T32" i="10"/>
  <c r="K32" i="10"/>
  <c r="BA33" i="10"/>
  <c r="BA59" i="10" s="1"/>
  <c r="AR33" i="10"/>
  <c r="AI33" i="10"/>
  <c r="AI59" i="10" s="1"/>
  <c r="Z33" i="10"/>
  <c r="H33" i="10"/>
  <c r="BH34" i="10"/>
  <c r="AX34" i="10"/>
  <c r="AO34" i="10"/>
  <c r="AF34" i="10"/>
  <c r="W34" i="10"/>
  <c r="N34" i="10"/>
  <c r="E34" i="10"/>
  <c r="BC35" i="10"/>
  <c r="AS35" i="10"/>
  <c r="AI35" i="10"/>
  <c r="U35" i="10"/>
  <c r="AQ36" i="10"/>
  <c r="R36" i="10"/>
  <c r="D36" i="10"/>
  <c r="BB37" i="10"/>
  <c r="AN37" i="10"/>
  <c r="AC37" i="10"/>
  <c r="AY38" i="10"/>
  <c r="AK38" i="10"/>
  <c r="Z38" i="10"/>
  <c r="L38" i="10"/>
  <c r="BG39" i="10"/>
  <c r="AV39" i="10"/>
  <c r="AH39" i="10"/>
  <c r="AY40" i="10"/>
  <c r="AD40" i="10"/>
  <c r="J40" i="10"/>
  <c r="S41" i="10"/>
  <c r="BE40" i="10"/>
  <c r="BE32" i="10"/>
  <c r="BE35" i="10"/>
  <c r="BE41" i="10"/>
  <c r="BE38" i="10"/>
  <c r="Q40" i="10"/>
  <c r="Q32" i="10"/>
  <c r="Q41" i="10"/>
  <c r="Q35" i="10"/>
  <c r="Q38" i="10"/>
  <c r="BD35" i="10"/>
  <c r="BD41" i="10"/>
  <c r="BD38" i="10"/>
  <c r="AF40" i="10"/>
  <c r="AF35" i="10"/>
  <c r="AF38" i="10"/>
  <c r="AF41" i="10"/>
  <c r="P40" i="10"/>
  <c r="P41" i="10"/>
  <c r="P35" i="10"/>
  <c r="P38" i="10"/>
  <c r="BI31" i="10"/>
  <c r="BI58" i="10" s="1"/>
  <c r="AG31" i="10"/>
  <c r="BK38" i="10"/>
  <c r="BK36" i="10"/>
  <c r="BK40" i="10"/>
  <c r="AU40" i="10"/>
  <c r="AU38" i="10"/>
  <c r="AU36" i="10"/>
  <c r="AE40" i="10"/>
  <c r="AE38" i="10"/>
  <c r="AE41" i="10"/>
  <c r="AE36" i="10"/>
  <c r="W40" i="10"/>
  <c r="W38" i="10"/>
  <c r="W36" i="10"/>
  <c r="O40" i="10"/>
  <c r="O38" i="10"/>
  <c r="O36" i="10"/>
  <c r="BG31" i="10"/>
  <c r="AX31" i="10"/>
  <c r="AO31" i="10"/>
  <c r="AF31" i="10"/>
  <c r="W31" i="10"/>
  <c r="N31" i="10"/>
  <c r="E31" i="10"/>
  <c r="BE30" i="10"/>
  <c r="AM30" i="10"/>
  <c r="U30" i="10"/>
  <c r="L30" i="10"/>
  <c r="C30" i="10"/>
  <c r="B41" i="10"/>
  <c r="AT32" i="10"/>
  <c r="AK32" i="10"/>
  <c r="AB32" i="10"/>
  <c r="S32" i="10"/>
  <c r="J32" i="10"/>
  <c r="BI33" i="10"/>
  <c r="AZ33" i="10"/>
  <c r="AQ33" i="10"/>
  <c r="AQ59" i="10" s="1"/>
  <c r="AH33" i="10"/>
  <c r="Y33" i="10"/>
  <c r="P33" i="10"/>
  <c r="BF34" i="10"/>
  <c r="AW34" i="10"/>
  <c r="AN34" i="10"/>
  <c r="AE34" i="10"/>
  <c r="V34" i="10"/>
  <c r="M34" i="10"/>
  <c r="D34" i="10"/>
  <c r="AR35" i="10"/>
  <c r="AE35" i="10"/>
  <c r="T35" i="10"/>
  <c r="BD36" i="10"/>
  <c r="AP36" i="10"/>
  <c r="AB36" i="10"/>
  <c r="Q36" i="10"/>
  <c r="C36" i="10"/>
  <c r="BA37" i="10"/>
  <c r="BI38" i="10"/>
  <c r="AX38" i="10"/>
  <c r="AJ38" i="10"/>
  <c r="K38" i="10"/>
  <c r="BF39" i="10"/>
  <c r="AU39" i="10"/>
  <c r="AG39" i="10"/>
  <c r="S39" i="10"/>
  <c r="C39" i="10"/>
  <c r="Z40" i="10"/>
  <c r="D40" i="10"/>
  <c r="AN41" i="10"/>
  <c r="O41" i="10"/>
  <c r="Y32" i="10"/>
  <c r="Y35" i="10"/>
  <c r="Y38" i="10"/>
  <c r="Y41" i="10"/>
  <c r="Y40" i="10"/>
  <c r="Y31" i="10"/>
  <c r="AV40" i="10"/>
  <c r="AV35" i="10"/>
  <c r="AV38" i="10"/>
  <c r="X40" i="10"/>
  <c r="X35" i="10"/>
  <c r="X38" i="10"/>
  <c r="AY31" i="10"/>
  <c r="BC40" i="10"/>
  <c r="BC41" i="10"/>
  <c r="BC38" i="10"/>
  <c r="BC36" i="10"/>
  <c r="AM40" i="10"/>
  <c r="AM38" i="10"/>
  <c r="AM36" i="10"/>
  <c r="AM41" i="10"/>
  <c r="BJ41" i="10"/>
  <c r="BJ33" i="10"/>
  <c r="BJ36" i="10"/>
  <c r="BJ39" i="10"/>
  <c r="BB41" i="10"/>
  <c r="BB33" i="10"/>
  <c r="BB36" i="10"/>
  <c r="BB39" i="10"/>
  <c r="BB40" i="10"/>
  <c r="AT41" i="10"/>
  <c r="AT33" i="10"/>
  <c r="AT36" i="10"/>
  <c r="AT39" i="10"/>
  <c r="AL41" i="10"/>
  <c r="AL33" i="10"/>
  <c r="AL59" i="10" s="1"/>
  <c r="AL40" i="10"/>
  <c r="AL36" i="10"/>
  <c r="AL39" i="10"/>
  <c r="AD41" i="10"/>
  <c r="AD33" i="10"/>
  <c r="AD36" i="10"/>
  <c r="AD39" i="10"/>
  <c r="V41" i="10"/>
  <c r="V33" i="10"/>
  <c r="V36" i="10"/>
  <c r="V39" i="10"/>
  <c r="N41" i="10"/>
  <c r="N33" i="10"/>
  <c r="N36" i="10"/>
  <c r="N39" i="10"/>
  <c r="F41" i="10"/>
  <c r="F33" i="10"/>
  <c r="F40" i="10"/>
  <c r="F36" i="10"/>
  <c r="F39" i="10"/>
  <c r="BF31" i="10"/>
  <c r="AW31" i="10"/>
  <c r="AN31" i="10"/>
  <c r="AE31" i="10"/>
  <c r="AE58" i="10" s="1"/>
  <c r="V31" i="10"/>
  <c r="M31" i="10"/>
  <c r="C31" i="10"/>
  <c r="BD30" i="10"/>
  <c r="AU30" i="10"/>
  <c r="AL30" i="10"/>
  <c r="AC30" i="10"/>
  <c r="T30" i="10"/>
  <c r="K30" i="10"/>
  <c r="B32" i="10"/>
  <c r="BK32" i="10"/>
  <c r="BB32" i="10"/>
  <c r="AS32" i="10"/>
  <c r="AJ32" i="10"/>
  <c r="AA32" i="10"/>
  <c r="R32" i="10"/>
  <c r="H32" i="10"/>
  <c r="BH33" i="10"/>
  <c r="AY33" i="10"/>
  <c r="AP33" i="10"/>
  <c r="AG33" i="10"/>
  <c r="X33" i="10"/>
  <c r="O33" i="10"/>
  <c r="E33" i="10"/>
  <c r="E44" i="10" s="1"/>
  <c r="BE34" i="10"/>
  <c r="AV34" i="10"/>
  <c r="AM34" i="10"/>
  <c r="AD34" i="10"/>
  <c r="U34" i="10"/>
  <c r="L34" i="10"/>
  <c r="BK35" i="10"/>
  <c r="BA35" i="10"/>
  <c r="AQ35" i="10"/>
  <c r="AD35" i="10"/>
  <c r="S35" i="10"/>
  <c r="E35" i="10"/>
  <c r="AZ36" i="10"/>
  <c r="AO36" i="10"/>
  <c r="AA36" i="10"/>
  <c r="P36" i="10"/>
  <c r="BK37" i="10"/>
  <c r="AW37" i="10"/>
  <c r="AL37" i="10"/>
  <c r="X37" i="10"/>
  <c r="M37" i="10"/>
  <c r="BH38" i="10"/>
  <c r="AT38" i="10"/>
  <c r="AI38" i="10"/>
  <c r="U38" i="10"/>
  <c r="J38" i="10"/>
  <c r="BE39" i="10"/>
  <c r="AQ39" i="10"/>
  <c r="AF39" i="10"/>
  <c r="Q39" i="10"/>
  <c r="BJ40" i="10"/>
  <c r="AR40" i="10"/>
  <c r="V40" i="10"/>
  <c r="BK41" i="10"/>
  <c r="AI41" i="10"/>
  <c r="J41" i="10"/>
  <c r="G36" i="10"/>
  <c r="G41" i="10"/>
  <c r="G38" i="10"/>
  <c r="L51" i="10" l="1"/>
  <c r="L52" i="10" s="1"/>
  <c r="AP48" i="10"/>
  <c r="AP49" i="10" s="1"/>
  <c r="AA51" i="10"/>
  <c r="AA52" i="10" s="1"/>
  <c r="U51" i="10"/>
  <c r="U52" i="10" s="1"/>
  <c r="BE48" i="10"/>
  <c r="BE49" i="10" s="1"/>
  <c r="AI51" i="10"/>
  <c r="AI52" i="10" s="1"/>
  <c r="X51" i="10"/>
  <c r="X52" i="10" s="1"/>
  <c r="BI48" i="10"/>
  <c r="BI49" i="10" s="1"/>
  <c r="AO51" i="10"/>
  <c r="AO52" i="10" s="1"/>
  <c r="AX51" i="10"/>
  <c r="AX52" i="10" s="1"/>
  <c r="AS48" i="10"/>
  <c r="AS49" i="10" s="1"/>
  <c r="BF48" i="10"/>
  <c r="BF49" i="10" s="1"/>
  <c r="L48" i="10"/>
  <c r="L49" i="10" s="1"/>
  <c r="O51" i="10"/>
  <c r="O52" i="10" s="1"/>
  <c r="AY51" i="10"/>
  <c r="AY52" i="10" s="1"/>
  <c r="BI51" i="10"/>
  <c r="BI52" i="10" s="1"/>
  <c r="W48" i="10"/>
  <c r="W49" i="10" s="1"/>
  <c r="AN51" i="10"/>
  <c r="AN52" i="10" s="1"/>
  <c r="R51" i="10"/>
  <c r="R52" i="10" s="1"/>
  <c r="AZ48" i="10"/>
  <c r="AZ49" i="10" s="1"/>
  <c r="T51" i="10"/>
  <c r="T52" i="10" s="1"/>
  <c r="Y48" i="10"/>
  <c r="Y49" i="10" s="1"/>
  <c r="AF48" i="10"/>
  <c r="AF49" i="10" s="1"/>
  <c r="G51" i="10"/>
  <c r="G52" i="10" s="1"/>
  <c r="D43" i="10"/>
  <c r="T43" i="10"/>
  <c r="M51" i="10"/>
  <c r="M52" i="10" s="1"/>
  <c r="AW44" i="10"/>
  <c r="AO48" i="10"/>
  <c r="AO49" i="10" s="1"/>
  <c r="AC51" i="10"/>
  <c r="AC52" i="10" s="1"/>
  <c r="AY48" i="10"/>
  <c r="AY49" i="10" s="1"/>
  <c r="BJ51" i="10"/>
  <c r="BJ52" i="10" s="1"/>
  <c r="AZ51" i="10"/>
  <c r="AZ52" i="10" s="1"/>
  <c r="AV44" i="10"/>
  <c r="AO44" i="10"/>
  <c r="AZ44" i="10"/>
  <c r="AW48" i="10"/>
  <c r="AW49" i="10" s="1"/>
  <c r="S51" i="10"/>
  <c r="S52" i="10" s="1"/>
  <c r="AK51" i="10"/>
  <c r="AK52" i="10" s="1"/>
  <c r="I51" i="10"/>
  <c r="I52" i="10" s="1"/>
  <c r="BK43" i="10"/>
  <c r="AS51" i="10"/>
  <c r="AS52" i="10" s="1"/>
  <c r="BH51" i="10"/>
  <c r="BH52" i="10" s="1"/>
  <c r="D48" i="10"/>
  <c r="D49" i="10" s="1"/>
  <c r="V51" i="10"/>
  <c r="V52" i="10" s="1"/>
  <c r="J51" i="10"/>
  <c r="J52" i="10" s="1"/>
  <c r="AV48" i="10"/>
  <c r="AV49" i="10" s="1"/>
  <c r="AJ51" i="10"/>
  <c r="AJ52" i="10" s="1"/>
  <c r="AN48" i="10"/>
  <c r="AN49" i="10" s="1"/>
  <c r="Q51" i="10"/>
  <c r="Q52" i="10" s="1"/>
  <c r="N60" i="10"/>
  <c r="N48" i="10"/>
  <c r="N49" i="10" s="1"/>
  <c r="AP51" i="10"/>
  <c r="AP52" i="10" s="1"/>
  <c r="Z43" i="10"/>
  <c r="AQ51" i="10"/>
  <c r="AQ52" i="10" s="1"/>
  <c r="AJ48" i="10"/>
  <c r="AJ49" i="10" s="1"/>
  <c r="S48" i="10"/>
  <c r="S49" i="10" s="1"/>
  <c r="AD61" i="10"/>
  <c r="AD71" i="10" s="1"/>
  <c r="AD51" i="10"/>
  <c r="AD52" i="10" s="1"/>
  <c r="R48" i="10"/>
  <c r="R49" i="10" s="1"/>
  <c r="AL48" i="10"/>
  <c r="AL49" i="10" s="1"/>
  <c r="BA51" i="10"/>
  <c r="BA52" i="10" s="1"/>
  <c r="P48" i="10"/>
  <c r="P49" i="10" s="1"/>
  <c r="BB51" i="10"/>
  <c r="BB52" i="10" s="1"/>
  <c r="AR51" i="10"/>
  <c r="AR52" i="10" s="1"/>
  <c r="AB48" i="10"/>
  <c r="AB49" i="10" s="1"/>
  <c r="F61" i="10"/>
  <c r="F51" i="10"/>
  <c r="F52" i="10" s="1"/>
  <c r="J48" i="10"/>
  <c r="J49" i="10" s="1"/>
  <c r="BB48" i="10"/>
  <c r="BB49" i="10" s="1"/>
  <c r="C48" i="10"/>
  <c r="C49" i="10" s="1"/>
  <c r="AA48" i="10"/>
  <c r="AA49" i="10" s="1"/>
  <c r="AQ48" i="10"/>
  <c r="AQ49" i="10" s="1"/>
  <c r="BF51" i="10"/>
  <c r="BF52" i="10" s="1"/>
  <c r="AT60" i="10"/>
  <c r="AT48" i="10"/>
  <c r="AT49" i="10" s="1"/>
  <c r="AH51" i="10"/>
  <c r="AH52" i="10" s="1"/>
  <c r="T48" i="10"/>
  <c r="T49" i="10" s="1"/>
  <c r="G48" i="10"/>
  <c r="G49" i="10" s="1"/>
  <c r="BK48" i="10"/>
  <c r="BK49" i="10" s="1"/>
  <c r="BC48" i="10"/>
  <c r="BC49" i="10" s="1"/>
  <c r="AC48" i="10"/>
  <c r="AC49" i="10" s="1"/>
  <c r="BG51" i="10"/>
  <c r="BG52" i="10" s="1"/>
  <c r="AU48" i="10"/>
  <c r="AU49" i="10" s="1"/>
  <c r="G44" i="10"/>
  <c r="BC43" i="10"/>
  <c r="AF51" i="10"/>
  <c r="AF52" i="10" s="1"/>
  <c r="AT61" i="10"/>
  <c r="AT51" i="10"/>
  <c r="AT52" i="10" s="1"/>
  <c r="Y51" i="10"/>
  <c r="Y52" i="10" s="1"/>
  <c r="AL51" i="10"/>
  <c r="AL52" i="10" s="1"/>
  <c r="AR48" i="10"/>
  <c r="AR49" i="10" s="1"/>
  <c r="AV51" i="10"/>
  <c r="AV52" i="10" s="1"/>
  <c r="P51" i="10"/>
  <c r="P52" i="10" s="1"/>
  <c r="C51" i="10"/>
  <c r="C52" i="10" s="1"/>
  <c r="BA48" i="10"/>
  <c r="BA49" i="10" s="1"/>
  <c r="AG43" i="10"/>
  <c r="H48" i="10"/>
  <c r="H49" i="10" s="1"/>
  <c r="BH44" i="10"/>
  <c r="K48" i="10"/>
  <c r="K49" i="10" s="1"/>
  <c r="BD48" i="10"/>
  <c r="BD49" i="10" s="1"/>
  <c r="I43" i="10"/>
  <c r="S43" i="10"/>
  <c r="BK51" i="10"/>
  <c r="BK52" i="10" s="1"/>
  <c r="AE51" i="10"/>
  <c r="AE52" i="10" s="1"/>
  <c r="U48" i="10"/>
  <c r="U49" i="10" s="1"/>
  <c r="M48" i="10"/>
  <c r="M49" i="10" s="1"/>
  <c r="BD51" i="10"/>
  <c r="BD52" i="10" s="1"/>
  <c r="BC51" i="10"/>
  <c r="BC52" i="10" s="1"/>
  <c r="H51" i="10"/>
  <c r="H52" i="10" s="1"/>
  <c r="BF44" i="10"/>
  <c r="BJ48" i="10"/>
  <c r="BJ49" i="10" s="1"/>
  <c r="BI44" i="10"/>
  <c r="Z51" i="10"/>
  <c r="Z52" i="10" s="1"/>
  <c r="AM51" i="10"/>
  <c r="AM52" i="10" s="1"/>
  <c r="AH48" i="10"/>
  <c r="AH49" i="10" s="1"/>
  <c r="AX48" i="10"/>
  <c r="AX49" i="10" s="1"/>
  <c r="F60" i="10"/>
  <c r="F48" i="10"/>
  <c r="F49" i="10" s="1"/>
  <c r="BE51" i="10"/>
  <c r="BE52" i="10" s="1"/>
  <c r="BH48" i="10"/>
  <c r="BH49" i="10" s="1"/>
  <c r="O48" i="10"/>
  <c r="O49" i="10" s="1"/>
  <c r="AD60" i="10"/>
  <c r="AD70" i="10" s="1"/>
  <c r="AD48" i="10"/>
  <c r="AD49" i="10" s="1"/>
  <c r="BB44" i="10"/>
  <c r="V48" i="10"/>
  <c r="V49" i="10" s="1"/>
  <c r="AU51" i="10"/>
  <c r="AU52" i="10" s="1"/>
  <c r="AU44" i="10"/>
  <c r="X48" i="10"/>
  <c r="X49" i="10" s="1"/>
  <c r="N61" i="10"/>
  <c r="N51" i="10"/>
  <c r="N52" i="10" s="1"/>
  <c r="Q48" i="10"/>
  <c r="Q49" i="10" s="1"/>
  <c r="AM48" i="10"/>
  <c r="AM49" i="10" s="1"/>
  <c r="K51" i="10"/>
  <c r="K52" i="10" s="1"/>
  <c r="AE48" i="10"/>
  <c r="AE49" i="10" s="1"/>
  <c r="W51" i="10"/>
  <c r="W52" i="10" s="1"/>
  <c r="E60" i="10"/>
  <c r="E48" i="10"/>
  <c r="E49" i="10" s="1"/>
  <c r="B51" i="10"/>
  <c r="B52" i="10" s="1"/>
  <c r="AG51" i="10"/>
  <c r="AG52" i="10" s="1"/>
  <c r="AG48" i="10"/>
  <c r="AG49" i="10" s="1"/>
  <c r="AW51" i="10"/>
  <c r="AW52" i="10" s="1"/>
  <c r="AB51" i="10"/>
  <c r="AB52" i="10" s="1"/>
  <c r="V44" i="10"/>
  <c r="D51" i="10"/>
  <c r="D52" i="10" s="1"/>
  <c r="Z48" i="10"/>
  <c r="Z49" i="10" s="1"/>
  <c r="AI48" i="10"/>
  <c r="AI49" i="10" s="1"/>
  <c r="BG48" i="10"/>
  <c r="BG49" i="10" s="1"/>
  <c r="E61" i="10"/>
  <c r="E51" i="10"/>
  <c r="E52" i="10" s="1"/>
  <c r="I48" i="10"/>
  <c r="I49" i="10" s="1"/>
  <c r="B48" i="10"/>
  <c r="B49" i="10" s="1"/>
  <c r="BF43" i="10"/>
  <c r="AQ43" i="10"/>
  <c r="AW43" i="10"/>
  <c r="X44" i="10"/>
  <c r="Y44" i="10"/>
  <c r="B44" i="10"/>
  <c r="U43" i="10"/>
  <c r="AG44" i="10"/>
  <c r="C44" i="10"/>
  <c r="I44" i="10"/>
  <c r="AI43" i="10"/>
  <c r="AL44" i="10"/>
  <c r="AP43" i="10"/>
  <c r="R44" i="10"/>
  <c r="AM43" i="10"/>
  <c r="AN43" i="10"/>
  <c r="AE43" i="10"/>
  <c r="AP59" i="10"/>
  <c r="AP44" i="10"/>
  <c r="BK59" i="10"/>
  <c r="BK44" i="10"/>
  <c r="M59" i="10"/>
  <c r="M44" i="10"/>
  <c r="L43" i="10"/>
  <c r="BE59" i="10"/>
  <c r="BE44" i="10"/>
  <c r="J43" i="10"/>
  <c r="J44" i="10"/>
  <c r="M43" i="10"/>
  <c r="AS44" i="10"/>
  <c r="AU58" i="10"/>
  <c r="AU43" i="10"/>
  <c r="AH59" i="10"/>
  <c r="AH44" i="10"/>
  <c r="AT59" i="10"/>
  <c r="AT44" i="10"/>
  <c r="AC44" i="10"/>
  <c r="AM44" i="10"/>
  <c r="BD59" i="10"/>
  <c r="BD44" i="10"/>
  <c r="X58" i="10"/>
  <c r="X43" i="10"/>
  <c r="AY44" i="10"/>
  <c r="AK43" i="10"/>
  <c r="AS43" i="10"/>
  <c r="AR44" i="10"/>
  <c r="P44" i="10"/>
  <c r="V43" i="10"/>
  <c r="AV43" i="10"/>
  <c r="R58" i="10"/>
  <c r="R43" i="10"/>
  <c r="B43" i="10"/>
  <c r="AQ44" i="10"/>
  <c r="AT58" i="10"/>
  <c r="AT62" i="10" s="1"/>
  <c r="AT68" i="10" s="1"/>
  <c r="AT73" i="10" s="1"/>
  <c r="AT43" i="10"/>
  <c r="BD58" i="10"/>
  <c r="BD43" i="10"/>
  <c r="N59" i="10"/>
  <c r="N44" i="10"/>
  <c r="K58" i="10"/>
  <c r="K43" i="10"/>
  <c r="AF43" i="10"/>
  <c r="AN59" i="10"/>
  <c r="AN44" i="10"/>
  <c r="AO43" i="10"/>
  <c r="Q43" i="10"/>
  <c r="BJ44" i="10"/>
  <c r="BB58" i="10"/>
  <c r="BB43" i="10"/>
  <c r="AB43" i="10"/>
  <c r="C43" i="10"/>
  <c r="AZ43" i="10"/>
  <c r="H44" i="10"/>
  <c r="BC44" i="10"/>
  <c r="S59" i="10"/>
  <c r="S44" i="10"/>
  <c r="AA44" i="10"/>
  <c r="BE43" i="10"/>
  <c r="K44" i="10"/>
  <c r="L44" i="10"/>
  <c r="AY43" i="10"/>
  <c r="BA43" i="10"/>
  <c r="G59" i="10"/>
  <c r="BC58" i="10"/>
  <c r="F58" i="10"/>
  <c r="F62" i="10" s="1"/>
  <c r="F68" i="10" s="1"/>
  <c r="F73" i="10" s="1"/>
  <c r="F43" i="10"/>
  <c r="BA44" i="10"/>
  <c r="AR43" i="10"/>
  <c r="E58" i="10"/>
  <c r="E62" i="10" s="1"/>
  <c r="E69" i="10" s="1"/>
  <c r="E43" i="10"/>
  <c r="P58" i="10"/>
  <c r="P43" i="10"/>
  <c r="AE44" i="10"/>
  <c r="Y43" i="10"/>
  <c r="H43" i="10"/>
  <c r="BJ58" i="10"/>
  <c r="BJ43" i="10"/>
  <c r="F59" i="10"/>
  <c r="F44" i="10"/>
  <c r="AC58" i="10"/>
  <c r="AC43" i="10"/>
  <c r="AB59" i="10"/>
  <c r="AB44" i="10"/>
  <c r="Q59" i="10"/>
  <c r="Q44" i="10"/>
  <c r="AX43" i="10"/>
  <c r="W59" i="10"/>
  <c r="W44" i="10"/>
  <c r="AA43" i="10"/>
  <c r="W43" i="10"/>
  <c r="AJ44" i="10"/>
  <c r="AL43" i="10"/>
  <c r="AK44" i="10"/>
  <c r="T44" i="10"/>
  <c r="BG43" i="10"/>
  <c r="U44" i="10"/>
  <c r="BH43" i="10"/>
  <c r="AH43" i="10"/>
  <c r="AF59" i="10"/>
  <c r="AF44" i="10"/>
  <c r="O44" i="10"/>
  <c r="AJ58" i="10"/>
  <c r="AJ43" i="10"/>
  <c r="Z44" i="10"/>
  <c r="AD59" i="10"/>
  <c r="AD69" i="10" s="1"/>
  <c r="AD44" i="10"/>
  <c r="O58" i="10"/>
  <c r="O43" i="10"/>
  <c r="N58" i="10"/>
  <c r="N62" i="10" s="1"/>
  <c r="N43" i="10"/>
  <c r="G58" i="10"/>
  <c r="G43" i="10"/>
  <c r="BI43" i="10"/>
  <c r="AI44" i="10"/>
  <c r="G61" i="10"/>
  <c r="D58" i="10"/>
  <c r="AU59" i="10"/>
  <c r="J59" i="10"/>
  <c r="Z58" i="10"/>
  <c r="BF60" i="10"/>
  <c r="AM58" i="10"/>
  <c r="AF60" i="10"/>
  <c r="C59" i="10"/>
  <c r="I59" i="10"/>
  <c r="V58" i="10"/>
  <c r="L61" i="10"/>
  <c r="AG59" i="10"/>
  <c r="BK58" i="10"/>
  <c r="P59" i="10"/>
  <c r="D59" i="10"/>
  <c r="B59" i="10"/>
  <c r="AK60" i="10"/>
  <c r="T61" i="10"/>
  <c r="AM59" i="10"/>
  <c r="G60" i="10"/>
  <c r="W58" i="10"/>
  <c r="AV59" i="10"/>
  <c r="BJ59" i="10"/>
  <c r="BA58" i="10"/>
  <c r="V61" i="10"/>
  <c r="AE60" i="10"/>
  <c r="W61" i="10"/>
  <c r="AG61" i="10"/>
  <c r="BF59" i="10"/>
  <c r="AO59" i="10"/>
  <c r="AH58" i="10"/>
  <c r="AL60" i="10"/>
  <c r="AS61" i="10"/>
  <c r="AC60" i="10"/>
  <c r="X61" i="10"/>
  <c r="AP61" i="10"/>
  <c r="T60" i="10"/>
  <c r="K59" i="10"/>
  <c r="BH61" i="10"/>
  <c r="AL58" i="10"/>
  <c r="T59" i="10"/>
  <c r="AA61" i="10"/>
  <c r="Y60" i="10"/>
  <c r="BG59" i="10"/>
  <c r="D61" i="10"/>
  <c r="Z60" i="10"/>
  <c r="K60" i="10"/>
  <c r="AZ59" i="10"/>
  <c r="AC61" i="10"/>
  <c r="T58" i="10"/>
  <c r="BE58" i="10"/>
  <c r="U60" i="10"/>
  <c r="BJ61" i="10"/>
  <c r="AC59" i="10"/>
  <c r="B61" i="10"/>
  <c r="AL61" i="10"/>
  <c r="BH58" i="10"/>
  <c r="AH60" i="10"/>
  <c r="R61" i="10"/>
  <c r="AJ60" i="10"/>
  <c r="BI59" i="10"/>
  <c r="I58" i="10"/>
  <c r="S61" i="10"/>
  <c r="BB59" i="10"/>
  <c r="BC61" i="10"/>
  <c r="V60" i="10"/>
  <c r="AU61" i="10"/>
  <c r="H61" i="10"/>
  <c r="B58" i="10"/>
  <c r="O60" i="10"/>
  <c r="B60" i="10"/>
  <c r="S58" i="10"/>
  <c r="K61" i="10"/>
  <c r="J61" i="10"/>
  <c r="AV60" i="10"/>
  <c r="AJ61" i="10"/>
  <c r="AN60" i="10"/>
  <c r="L58" i="10"/>
  <c r="Q61" i="10"/>
  <c r="X60" i="10"/>
  <c r="C61" i="10"/>
  <c r="AR60" i="10"/>
  <c r="AX58" i="10"/>
  <c r="BB61" i="10"/>
  <c r="AS60" i="10"/>
  <c r="Y58" i="10"/>
  <c r="AI60" i="10"/>
  <c r="BG60" i="10"/>
  <c r="I60" i="10"/>
  <c r="BG61" i="10"/>
  <c r="Z59" i="10"/>
  <c r="C58" i="10"/>
  <c r="AX61" i="10"/>
  <c r="U58" i="10"/>
  <c r="W60" i="10"/>
  <c r="M58" i="10"/>
  <c r="AG60" i="10"/>
  <c r="I61" i="10"/>
  <c r="BA60" i="10"/>
  <c r="BB60" i="10"/>
  <c r="AI58" i="10"/>
  <c r="S60" i="10"/>
  <c r="R60" i="10"/>
  <c r="H58" i="10"/>
  <c r="AU60" i="10"/>
  <c r="AR59" i="10"/>
  <c r="H59" i="10"/>
  <c r="Z61" i="10"/>
  <c r="BJ60" i="10"/>
  <c r="BK60" i="10"/>
  <c r="AR61" i="10"/>
  <c r="AB60" i="10"/>
  <c r="Q58" i="10"/>
  <c r="BD60" i="10"/>
  <c r="AM60" i="10"/>
  <c r="AQ61" i="10"/>
  <c r="U61" i="10"/>
  <c r="BE60" i="10"/>
  <c r="AW60" i="10"/>
  <c r="AI61" i="10"/>
  <c r="BI61" i="10"/>
  <c r="BK61" i="10"/>
  <c r="AW61" i="10"/>
  <c r="Y61" i="10"/>
  <c r="AE61" i="10"/>
  <c r="AK61" i="10"/>
  <c r="AO60" i="10"/>
  <c r="AN58" i="10"/>
  <c r="AZ60" i="10"/>
  <c r="AF58" i="10"/>
  <c r="V59" i="10"/>
  <c r="AG58" i="10"/>
  <c r="BF58" i="10"/>
  <c r="AY59" i="10"/>
  <c r="C60" i="10"/>
  <c r="AA60" i="10"/>
  <c r="AQ60" i="10"/>
  <c r="BF61" i="10"/>
  <c r="AA58" i="10"/>
  <c r="AP60" i="10"/>
  <c r="AB61" i="10"/>
  <c r="AA59" i="10"/>
  <c r="AM61" i="10"/>
  <c r="L60" i="10"/>
  <c r="D60" i="10"/>
  <c r="AK59" i="10"/>
  <c r="O61" i="10"/>
  <c r="AY61" i="10"/>
  <c r="AX60" i="10"/>
  <c r="AW58" i="10"/>
  <c r="M61" i="10"/>
  <c r="BI60" i="10"/>
  <c r="L59" i="10"/>
  <c r="AO58" i="10"/>
  <c r="BA61" i="10"/>
  <c r="AE59" i="10"/>
  <c r="AQ58" i="10"/>
  <c r="AP58" i="10"/>
  <c r="H60" i="10"/>
  <c r="BH59" i="10"/>
  <c r="BC60" i="10"/>
  <c r="O59" i="10"/>
  <c r="AH61" i="10"/>
  <c r="AZ61" i="10"/>
  <c r="R59" i="10"/>
  <c r="AF61" i="10"/>
  <c r="AN61" i="10"/>
  <c r="AJ59" i="10"/>
  <c r="AS59" i="10"/>
  <c r="AV61" i="10"/>
  <c r="Y59" i="10"/>
  <c r="M60" i="10"/>
  <c r="P61" i="10"/>
  <c r="BD61" i="10"/>
  <c r="BE61" i="10"/>
  <c r="BH60" i="10"/>
  <c r="BG58" i="10"/>
  <c r="U59" i="10"/>
  <c r="AY58" i="10"/>
  <c r="AO61" i="10"/>
  <c r="AW59" i="10"/>
  <c r="P60" i="10"/>
  <c r="AX59" i="10"/>
  <c r="AZ58" i="10"/>
  <c r="J58" i="10"/>
  <c r="Q60" i="10"/>
  <c r="AY60" i="10"/>
  <c r="AK58" i="10"/>
  <c r="X59" i="10"/>
  <c r="AS58" i="10"/>
  <c r="J60" i="10"/>
  <c r="N71" i="10" l="1"/>
  <c r="N70" i="10"/>
  <c r="G62" i="10"/>
  <c r="G69" i="10" s="1"/>
  <c r="N68" i="10"/>
  <c r="N73" i="10" s="1"/>
  <c r="AT69" i="10"/>
  <c r="AT71" i="10"/>
  <c r="N69" i="10"/>
  <c r="AT70" i="10"/>
  <c r="F70" i="10"/>
  <c r="R62" i="10"/>
  <c r="R71" i="10" s="1"/>
  <c r="AE62" i="10"/>
  <c r="AE70" i="10" s="1"/>
  <c r="F69" i="10"/>
  <c r="F71" i="10"/>
  <c r="AU62" i="10"/>
  <c r="AU68" i="10" s="1"/>
  <c r="AL62" i="10"/>
  <c r="AL69" i="10" s="1"/>
  <c r="W62" i="10"/>
  <c r="W70" i="10" s="1"/>
  <c r="AM62" i="10"/>
  <c r="AM69" i="10" s="1"/>
  <c r="BC62" i="10"/>
  <c r="BC70" i="10" s="1"/>
  <c r="V62" i="10"/>
  <c r="V70" i="10" s="1"/>
  <c r="AC62" i="10"/>
  <c r="AC68" i="10" s="1"/>
  <c r="BH62" i="10"/>
  <c r="BH71" i="10" s="1"/>
  <c r="B62" i="10"/>
  <c r="B69" i="10" s="1"/>
  <c r="T62" i="10"/>
  <c r="T70" i="10" s="1"/>
  <c r="P62" i="10"/>
  <c r="P69" i="10" s="1"/>
  <c r="I62" i="10"/>
  <c r="I71" i="10" s="1"/>
  <c r="E70" i="10"/>
  <c r="G70" i="10"/>
  <c r="BI62" i="10"/>
  <c r="BI71" i="10" s="1"/>
  <c r="BA62" i="10"/>
  <c r="BA69" i="10" s="1"/>
  <c r="W71" i="10"/>
  <c r="AK62" i="10"/>
  <c r="AK70" i="10" s="1"/>
  <c r="AN62" i="10"/>
  <c r="AN69" i="10" s="1"/>
  <c r="AB62" i="10"/>
  <c r="AB70" i="10" s="1"/>
  <c r="AP62" i="10"/>
  <c r="AP70" i="10" s="1"/>
  <c r="AP68" i="10"/>
  <c r="AG62" i="10"/>
  <c r="AG68" i="10" s="1"/>
  <c r="AX62" i="10"/>
  <c r="AX68" i="10" s="1"/>
  <c r="S62" i="10"/>
  <c r="S70" i="10" s="1"/>
  <c r="BD62" i="10"/>
  <c r="BD71" i="10" s="1"/>
  <c r="BJ62" i="10"/>
  <c r="E68" i="10"/>
  <c r="E73" i="10" s="1"/>
  <c r="E71" i="10"/>
  <c r="AV62" i="10"/>
  <c r="AV71" i="10" s="1"/>
  <c r="D62" i="10"/>
  <c r="AW62" i="10"/>
  <c r="AW70" i="10" s="1"/>
  <c r="Z62" i="10"/>
  <c r="Z69" i="10" s="1"/>
  <c r="AI62" i="10"/>
  <c r="AI69" i="10" s="1"/>
  <c r="AZ62" i="10"/>
  <c r="AZ69" i="10" s="1"/>
  <c r="AF62" i="10"/>
  <c r="AF68" i="10" s="1"/>
  <c r="K62" i="10"/>
  <c r="K71" i="10" s="1"/>
  <c r="L62" i="10"/>
  <c r="L71" i="10" s="1"/>
  <c r="AR62" i="10"/>
  <c r="AR68" i="10" s="1"/>
  <c r="BK62" i="10"/>
  <c r="AY62" i="10"/>
  <c r="AY68" i="10" s="1"/>
  <c r="U62" i="10"/>
  <c r="U70" i="10" s="1"/>
  <c r="J62" i="10"/>
  <c r="J69" i="10" s="1"/>
  <c r="AQ62" i="10"/>
  <c r="AQ69" i="10" s="1"/>
  <c r="BG62" i="10"/>
  <c r="BG69" i="10" s="1"/>
  <c r="AJ62" i="10"/>
  <c r="AJ71" i="10" s="1"/>
  <c r="AS62" i="10"/>
  <c r="AS71" i="10" s="1"/>
  <c r="O62" i="10"/>
  <c r="O71" i="10" s="1"/>
  <c r="AA62" i="10"/>
  <c r="AA71" i="10" s="1"/>
  <c r="M62" i="10"/>
  <c r="M69" i="10" s="1"/>
  <c r="AO62" i="10"/>
  <c r="AO69" i="10" s="1"/>
  <c r="BB62" i="10"/>
  <c r="BB70" i="10" s="1"/>
  <c r="BF62" i="10"/>
  <c r="BF71" i="10" s="1"/>
  <c r="BE62" i="10"/>
  <c r="Q62" i="10"/>
  <c r="Q69" i="10" s="1"/>
  <c r="X62" i="10"/>
  <c r="X69" i="10" s="1"/>
  <c r="H62" i="10"/>
  <c r="H71" i="10" s="1"/>
  <c r="AH62" i="10"/>
  <c r="AH71" i="10" s="1"/>
  <c r="C62" i="10"/>
  <c r="C69" i="10" s="1"/>
  <c r="Y62" i="10"/>
  <c r="Y70" i="10" s="1"/>
  <c r="W68" i="10" l="1"/>
  <c r="G68" i="10"/>
  <c r="G71" i="10"/>
  <c r="G73" i="10" s="1"/>
  <c r="AU70" i="10"/>
  <c r="AA68" i="10"/>
  <c r="R68" i="10"/>
  <c r="AE71" i="10"/>
  <c r="AZ70" i="10"/>
  <c r="AX71" i="10"/>
  <c r="R70" i="10"/>
  <c r="BF68" i="10"/>
  <c r="AN68" i="10"/>
  <c r="X70" i="10"/>
  <c r="AX70" i="10"/>
  <c r="AE69" i="10"/>
  <c r="AU71" i="10"/>
  <c r="R69" i="10"/>
  <c r="L68" i="10"/>
  <c r="I68" i="10"/>
  <c r="AL68" i="10"/>
  <c r="T68" i="10"/>
  <c r="AL70" i="10"/>
  <c r="AL71" i="10"/>
  <c r="AE68" i="10"/>
  <c r="I69" i="10"/>
  <c r="I70" i="10"/>
  <c r="T69" i="10"/>
  <c r="AI71" i="10"/>
  <c r="AI68" i="10"/>
  <c r="W69" i="10"/>
  <c r="W73" i="10" s="1"/>
  <c r="T71" i="10"/>
  <c r="AM71" i="10"/>
  <c r="AU69" i="10"/>
  <c r="AM68" i="10"/>
  <c r="H68" i="10"/>
  <c r="AM70" i="10"/>
  <c r="AC69" i="10"/>
  <c r="Z71" i="10"/>
  <c r="V71" i="10"/>
  <c r="M71" i="10"/>
  <c r="V69" i="10"/>
  <c r="AK71" i="10"/>
  <c r="BC71" i="10"/>
  <c r="BC69" i="10"/>
  <c r="BC68" i="10"/>
  <c r="V68" i="10"/>
  <c r="AF71" i="10"/>
  <c r="AW68" i="10"/>
  <c r="AW73" i="10" s="1"/>
  <c r="AA70" i="10"/>
  <c r="B71" i="10"/>
  <c r="M70" i="10"/>
  <c r="BH69" i="10"/>
  <c r="B70" i="10"/>
  <c r="BA70" i="10"/>
  <c r="AC71" i="10"/>
  <c r="BH68" i="10"/>
  <c r="Y71" i="10"/>
  <c r="P70" i="10"/>
  <c r="BA71" i="10"/>
  <c r="AC70" i="10"/>
  <c r="AS69" i="10"/>
  <c r="BA68" i="10"/>
  <c r="AZ68" i="10"/>
  <c r="BH70" i="10"/>
  <c r="AN70" i="10"/>
  <c r="AX69" i="10"/>
  <c r="AV70" i="10"/>
  <c r="AO71" i="10"/>
  <c r="B68" i="10"/>
  <c r="BI70" i="10"/>
  <c r="BI68" i="10"/>
  <c r="AQ68" i="10"/>
  <c r="P68" i="10"/>
  <c r="L70" i="10"/>
  <c r="AG70" i="10"/>
  <c r="Y69" i="10"/>
  <c r="Q71" i="10"/>
  <c r="BI69" i="10"/>
  <c r="P71" i="10"/>
  <c r="O69" i="10"/>
  <c r="C71" i="10"/>
  <c r="BG71" i="10"/>
  <c r="AS70" i="10"/>
  <c r="Y68" i="10"/>
  <c r="Q68" i="10"/>
  <c r="C70" i="10"/>
  <c r="AI70" i="10"/>
  <c r="AN71" i="10"/>
  <c r="BE68" i="10"/>
  <c r="BE69" i="10"/>
  <c r="BD70" i="10"/>
  <c r="BG68" i="10"/>
  <c r="AJ69" i="10"/>
  <c r="BK68" i="10"/>
  <c r="BK69" i="10"/>
  <c r="BD69" i="10"/>
  <c r="BD68" i="10"/>
  <c r="J71" i="10"/>
  <c r="BE71" i="10"/>
  <c r="S68" i="10"/>
  <c r="S71" i="10"/>
  <c r="S69" i="10"/>
  <c r="AK68" i="10"/>
  <c r="AY69" i="10"/>
  <c r="AY73" i="10" s="1"/>
  <c r="AR69" i="10"/>
  <c r="U68" i="10"/>
  <c r="AW71" i="10"/>
  <c r="AA69" i="10"/>
  <c r="AS68" i="10"/>
  <c r="H70" i="10"/>
  <c r="BJ68" i="10"/>
  <c r="BJ69" i="10"/>
  <c r="BJ71" i="10"/>
  <c r="AO70" i="10"/>
  <c r="U69" i="10"/>
  <c r="BJ70" i="10"/>
  <c r="L69" i="10"/>
  <c r="AH69" i="10"/>
  <c r="AH68" i="10"/>
  <c r="AH70" i="10"/>
  <c r="AB71" i="10"/>
  <c r="AR70" i="10"/>
  <c r="BK70" i="10"/>
  <c r="AY70" i="10"/>
  <c r="BB69" i="10"/>
  <c r="BB68" i="10"/>
  <c r="AZ71" i="10"/>
  <c r="BE70" i="10"/>
  <c r="AK69" i="10"/>
  <c r="C68" i="10"/>
  <c r="AO68" i="10"/>
  <c r="BB71" i="10"/>
  <c r="M68" i="10"/>
  <c r="AY71" i="10"/>
  <c r="AQ70" i="10"/>
  <c r="BG70" i="10"/>
  <c r="BK71" i="10"/>
  <c r="AQ71" i="10"/>
  <c r="AV68" i="10"/>
  <c r="AV69" i="10"/>
  <c r="J70" i="10"/>
  <c r="AR71" i="10"/>
  <c r="AJ68" i="10"/>
  <c r="AJ70" i="10"/>
  <c r="AB68" i="10"/>
  <c r="AB69" i="10"/>
  <c r="D71" i="10"/>
  <c r="D68" i="10"/>
  <c r="D69" i="10"/>
  <c r="BF69" i="10"/>
  <c r="BF70" i="10"/>
  <c r="U71" i="10"/>
  <c r="X71" i="10"/>
  <c r="X68" i="10"/>
  <c r="AW69" i="10"/>
  <c r="AP69" i="10"/>
  <c r="AP71" i="10"/>
  <c r="H69" i="10"/>
  <c r="O68" i="10"/>
  <c r="O70" i="10"/>
  <c r="J68" i="10"/>
  <c r="K70" i="10"/>
  <c r="K68" i="10"/>
  <c r="K69" i="10"/>
  <c r="AF69" i="10"/>
  <c r="AF70" i="10"/>
  <c r="Z70" i="10"/>
  <c r="Z68" i="10"/>
  <c r="Q70" i="10"/>
  <c r="AG69" i="10"/>
  <c r="AG73" i="10" s="1"/>
  <c r="AG71" i="10"/>
  <c r="D70" i="10"/>
  <c r="AS73" i="10" l="1"/>
  <c r="AC73" i="10"/>
  <c r="K73" i="10"/>
  <c r="AV73" i="10"/>
  <c r="AK73" i="10"/>
  <c r="Q73" i="10"/>
  <c r="BB73" i="10"/>
  <c r="AX73" i="10"/>
  <c r="S73" i="10"/>
  <c r="AU73" i="10"/>
  <c r="AZ73" i="10"/>
  <c r="AP73" i="10"/>
  <c r="AF73" i="10"/>
  <c r="AR73" i="10"/>
  <c r="R73" i="10"/>
  <c r="BA73" i="10"/>
  <c r="D73" i="10"/>
  <c r="AB73" i="10"/>
  <c r="M73" i="10"/>
  <c r="BD73" i="10"/>
  <c r="P73" i="10"/>
  <c r="Z73" i="10"/>
  <c r="Y73" i="10"/>
  <c r="AQ73" i="10"/>
  <c r="AE73" i="10"/>
  <c r="AN73" i="10"/>
  <c r="AO73" i="10"/>
  <c r="AH73" i="10"/>
  <c r="BI73" i="10"/>
  <c r="H73" i="10"/>
  <c r="BF73" i="10"/>
  <c r="X73" i="10"/>
  <c r="C73" i="10"/>
  <c r="U73" i="10"/>
  <c r="BK73" i="10"/>
  <c r="V73" i="10"/>
  <c r="AM73" i="10"/>
  <c r="BJ73" i="10"/>
  <c r="B73" i="10"/>
  <c r="BC73" i="10"/>
  <c r="T73" i="10"/>
  <c r="O73" i="10"/>
  <c r="AJ73" i="10"/>
  <c r="BG73" i="10"/>
  <c r="BH73" i="10"/>
  <c r="AL73" i="10"/>
  <c r="I73" i="10"/>
  <c r="L73" i="10"/>
  <c r="J73" i="10"/>
  <c r="BE73" i="10"/>
  <c r="AI73" i="10"/>
  <c r="AA73" i="10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63FDDD5-735F-4170-8B44-2BED35CC6D42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854F9878-287B-4208-AA9D-615DD3AF05D1}" keepAlive="1" name="Query - Table3" description="Connection to the 'Table3' query in the workbook." type="5" refreshedVersion="8" background="1" saveData="1">
    <dbPr connection="Provider=Microsoft.Mashup.OleDb.1;Data Source=$Workbook$;Location=Table3;Extended Properties=&quot;&quot;" command="SELECT * FROM [Table3]"/>
  </connection>
  <connection id="3" xr16:uid="{A7807E8E-EC29-4BD8-B059-128AFDCC1DE6}" keepAlive="1" name="Query - Table5" description="Connection to the 'Table5' query in the workbook." type="5" refreshedVersion="8" background="1" saveData="1">
    <dbPr connection="Provider=Microsoft.Mashup.OleDb.1;Data Source=$Workbook$;Location=Table5;Extended Properties=&quot;&quot;" command="SELECT * FROM [Table5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<sst xmlns="http://schemas.openxmlformats.org/spreadsheetml/2006/main" count="468" uniqueCount="90">
  <si>
    <t/>
  </si>
  <si>
    <t>Intercept</t>
  </si>
  <si>
    <t>Number Patty</t>
  </si>
  <si>
    <t>Price</t>
  </si>
  <si>
    <t>Potato</t>
  </si>
  <si>
    <t>Cauliflower</t>
  </si>
  <si>
    <t>Paneer</t>
  </si>
  <si>
    <t>Multigrain</t>
  </si>
  <si>
    <t>Whole Wheat</t>
  </si>
  <si>
    <t>Gluten Free</t>
  </si>
  <si>
    <t xml:space="preserve">Respondent </t>
  </si>
  <si>
    <t>Product ID</t>
  </si>
  <si>
    <t>SUMMARY OUTPUT</t>
  </si>
  <si>
    <t>Single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</si>
  <si>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</si>
  <si>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</si>
  <si>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</si>
  <si>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</si>
  <si>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</si>
  <si>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</si>
  <si>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</si>
  <si>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</si>
  <si>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</si>
  <si>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</si>
  <si>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</si>
  <si>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</si>
  <si>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</si>
  <si>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</si>
  <si>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</si>
  <si>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</si>
  <si>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</si>
  <si>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</si>
  <si>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</si>
  <si>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</si>
  <si>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</si>
  <si>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</si>
  <si>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Brioche</t>
  </si>
  <si>
    <t>Double</t>
  </si>
  <si>
    <t>Soy</t>
  </si>
  <si>
    <t>Type of Bread</t>
  </si>
  <si>
    <t>Type of patty</t>
  </si>
  <si>
    <t>Whole wheat</t>
  </si>
  <si>
    <t>Type Bread</t>
  </si>
  <si>
    <t>Type of Patty</t>
  </si>
  <si>
    <t>Number of Patty</t>
  </si>
  <si>
    <t>Attribute/Levels</t>
  </si>
  <si>
    <t>Respondents</t>
  </si>
  <si>
    <t>Price(8.95)</t>
  </si>
  <si>
    <t>Price(11.95)</t>
  </si>
  <si>
    <t>Number Patty(Double)</t>
  </si>
  <si>
    <t>Max of Partworths</t>
  </si>
  <si>
    <t>Respondent</t>
  </si>
  <si>
    <t>UTILITY MATRIX</t>
  </si>
  <si>
    <t>Type of bread</t>
  </si>
  <si>
    <t>sum of range</t>
  </si>
  <si>
    <t>PARTWORTH MATRIX</t>
  </si>
  <si>
    <t>RANGE</t>
  </si>
  <si>
    <t>Profile 1</t>
  </si>
  <si>
    <t>Profile 2</t>
  </si>
  <si>
    <t>Profile 3</t>
  </si>
  <si>
    <t>Profile 4</t>
  </si>
  <si>
    <t>Profile 5</t>
  </si>
  <si>
    <t>Profile 6</t>
  </si>
  <si>
    <t>Profile 7</t>
  </si>
  <si>
    <t>Profile 8</t>
  </si>
  <si>
    <t>Profile 9</t>
  </si>
  <si>
    <t>ATTRIBUTE IMPORTANCE RATING</t>
  </si>
  <si>
    <t>maximum of (type of patty)</t>
  </si>
  <si>
    <t>maximum(type of bread)</t>
  </si>
  <si>
    <t>Count of max</t>
  </si>
  <si>
    <t>max of attributes</t>
  </si>
  <si>
    <t>Imp attribute</t>
  </si>
  <si>
    <t xml:space="preserve"> </t>
  </si>
  <si>
    <t>Best Profile</t>
  </si>
  <si>
    <t>Column1</t>
  </si>
  <si>
    <t>Frequency</t>
  </si>
  <si>
    <t>Cauliflower, Paneer</t>
  </si>
  <si>
    <t>Potato, Paneer</t>
  </si>
  <si>
    <t>Cauliflower, Soy</t>
  </si>
  <si>
    <t>Potato, Soy</t>
  </si>
  <si>
    <t>Type of patty frequency</t>
  </si>
  <si>
    <t>Brioche, Whole wheat</t>
  </si>
  <si>
    <t>Multigrain, Gluten Free</t>
  </si>
  <si>
    <t>Gluten Free, Brioche, Whole wheat</t>
  </si>
  <si>
    <t>Multigrain, Brioche, Whole wheat</t>
  </si>
  <si>
    <t>Count of tyoe of bread</t>
  </si>
  <si>
    <t>Row Labels</t>
  </si>
  <si>
    <t>Grand Total</t>
  </si>
  <si>
    <t>Count of Number of Patty</t>
  </si>
  <si>
    <t>Count of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</si>
</sst>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);[Red]\(&quot;$&quot;#,##0.00\)"/>
  </numFmts>
  <fonts count="4" x14ac:knownFonts="1"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2" borderId="0" xfId="0" applyFill="1"/>
    <xf numFmtId="49" fontId="0" fillId="0" borderId="0" xfId="0" applyNumberFormat="1" applyAlignment="1">
      <alignment wrapText="1"/>
    </xf>
    <xf numFmtId="0" fontId="0" fillId="0" borderId="2" xfId="0" applyBorder="1"/>
    <xf numFmtId="0" fontId="0" fillId="0" borderId="3" xfId="0" applyBorder="1"/>
    <xf numFmtId="164" fontId="0" fillId="0" borderId="2" xfId="0" applyNumberFormat="1" applyBorder="1"/>
    <xf numFmtId="0" fontId="0" fillId="3" borderId="2" xfId="0" applyFill="1" applyBorder="1"/>
    <xf numFmtId="164" fontId="0" fillId="3" borderId="2" xfId="0" applyNumberFormat="1" applyFill="1" applyBorder="1"/>
    <xf numFmtId="0" fontId="0" fillId="2" borderId="2" xfId="0" applyFill="1" applyBorder="1"/>
    <xf numFmtId="2" fontId="0" fillId="0" borderId="3" xfId="0" applyNumberForma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Continuous"/>
    </xf>
    <xf numFmtId="0" fontId="0" fillId="3" borderId="0" xfId="0" applyFill="1"/>
    <xf numFmtId="0" fontId="0" fillId="0" borderId="4" xfId="0" applyBorder="1"/>
    <xf numFmtId="0" fontId="0" fillId="4" borderId="0" xfId="0" applyFill="1" applyAlignment="1">
      <alignment horizontal="center" vertical="top"/>
    </xf>
    <xf numFmtId="0" fontId="2" fillId="0" borderId="0" xfId="0" applyFont="1"/>
    <xf numFmtId="0" fontId="2" fillId="5" borderId="0" xfId="0" applyFont="1" applyFill="1"/>
    <xf numFmtId="0" fontId="0" fillId="6" borderId="0" xfId="0" applyFill="1"/>
    <xf numFmtId="0" fontId="0" fillId="6" borderId="0" xfId="0" applyFill="1" applyAlignment="1">
      <alignment horizontal="center"/>
    </xf>
    <xf numFmtId="0" fontId="0" fillId="7" borderId="0" xfId="0" applyFill="1"/>
    <xf numFmtId="0" fontId="2" fillId="7" borderId="0" xfId="0" applyFont="1" applyFill="1"/>
    <xf numFmtId="0" fontId="3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6">
    <dxf>
      <fill>
        <patternFill>
          <bgColor theme="6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[MainCAA.xlsx]Price!PivotTable2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Price difference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Price!$D$1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Price!$C$2:$C$4</c:f>
              <c:strCache>
                <c:ptCount val="2"/>
                <c:pt idx="0">
                  <c:v>8.95</c:v>
                </c:pt>
                <c:pt idx="1">
                  <c:v>11.95</c:v>
                </c:pt>
              </c:strCache>
            </c:strRef>
          </c:cat>
          <c:val>
            <c:numRef>
              <c:f>Price!$D$2:$D$4</c:f>
              <c:numCache>
                <c:formatCode>General</c:formatCode>
                <c:ptCount val="2"/>
                <c:pt idx="0">
                  <c:v>22</c:v>
                </c:pt>
                <c:pt idx="1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82-4350-89EF-731C76C2B04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79625183"/>
        <c:axId val="1079626623"/>
      </c:barChart>
      <c:catAx>
        <c:axId val="10796251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Price difference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9626623"/>
        <c:crosses val="autoZero"/>
        <c:auto val="1"/>
        <c:lblAlgn val="ctr"/>
        <c:lblOffset val="100"/>
        <c:noMultiLvlLbl val="0"/>
      </c:catAx>
      <c:valAx>
        <c:axId val="1079626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96251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'Type of Patty frequency '!$B$1</c:f>
              <c:strCache>
                <c:ptCount val="1"/>
                <c:pt idx="0">
                  <c:v>Type of patty frequency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'Type of Patty frequency '!$A$2:$A$5</c:f>
              <c:strCache>
                <c:ptCount val="4"/>
                <c:pt idx="0">
                  <c:v>Cauliflower</c:v>
                </c:pt>
                <c:pt idx="1">
                  <c:v>Paneer</c:v>
                </c:pt>
                <c:pt idx="2">
                  <c:v>Potato</c:v>
                </c:pt>
                <c:pt idx="3">
                  <c:v>Soy</c:v>
                </c:pt>
              </c:strCache>
            </c:strRef>
          </c:cat>
          <c:val>
            <c:numRef>
              <c:f>'Type of Patty frequency '!$B$2:$B$5</c:f>
              <c:numCache>
                <c:formatCode>General</c:formatCode>
                <c:ptCount val="4"/>
                <c:pt idx="0">
                  <c:v>14</c:v>
                </c:pt>
                <c:pt idx="1">
                  <c:v>29</c:v>
                </c:pt>
                <c:pt idx="2">
                  <c:v>20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9A-4254-822C-DD51E6E884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70073264"/>
        <c:axId val="2070074704"/>
      </c:barChart>
      <c:catAx>
        <c:axId val="20700732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Type of patty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0074704"/>
        <c:crosses val="autoZero"/>
        <c:auto val="1"/>
        <c:lblAlgn val="ctr"/>
        <c:lblOffset val="100"/>
        <c:noMultiLvlLbl val="0"/>
      </c:catAx>
      <c:valAx>
        <c:axId val="2070074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Count</a:t>
                </a:r>
                <a:r>
                  <a:rPr lang="en-AU" baseline="0"/>
                  <a:t> </a:t>
                </a:r>
                <a:endParaRPr lang="en-A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A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0073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Count of tye of bread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'Type of bread frequency'!$B$1</c:f>
              <c:strCache>
                <c:ptCount val="1"/>
                <c:pt idx="0">
                  <c:v>Count of tyoe of bread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'Type of bread frequency'!$A$2:$A$5</c:f>
              <c:strCache>
                <c:ptCount val="4"/>
                <c:pt idx="0">
                  <c:v>Multigrain</c:v>
                </c:pt>
                <c:pt idx="1">
                  <c:v>Brioche</c:v>
                </c:pt>
                <c:pt idx="2">
                  <c:v>Whole wheat</c:v>
                </c:pt>
                <c:pt idx="3">
                  <c:v>Gluten Free</c:v>
                </c:pt>
              </c:strCache>
            </c:strRef>
          </c:cat>
          <c:val>
            <c:numRef>
              <c:f>'Type of bread frequency'!$B$2:$B$5</c:f>
              <c:numCache>
                <c:formatCode>General</c:formatCode>
                <c:ptCount val="4"/>
                <c:pt idx="0">
                  <c:v>25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BC-4DAE-B3CA-C76F1232976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79096927"/>
        <c:axId val="479094527"/>
      </c:barChart>
      <c:catAx>
        <c:axId val="4790969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Type of</a:t>
                </a:r>
                <a:r>
                  <a:rPr lang="en-AU" baseline="0"/>
                  <a:t> bread</a:t>
                </a:r>
                <a:endParaRPr lang="en-A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A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9094527"/>
        <c:crosses val="autoZero"/>
        <c:auto val="1"/>
        <c:lblAlgn val="ctr"/>
        <c:lblOffset val="100"/>
        <c:noMultiLvlLbl val="0"/>
      </c:catAx>
      <c:valAx>
        <c:axId val="479094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90969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Profile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'Profile Frequency'!$B$1</c:f>
              <c:strCache>
                <c:ptCount val="1"/>
                <c:pt idx="0">
                  <c:v>Frequency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'Profile Frequency'!$A$2:$A$10</c:f>
              <c:strCache>
                <c:ptCount val="9"/>
                <c:pt idx="0">
                  <c:v>Profile 8</c:v>
                </c:pt>
                <c:pt idx="1">
                  <c:v>Profile 9</c:v>
                </c:pt>
                <c:pt idx="2">
                  <c:v>Profile 4</c:v>
                </c:pt>
                <c:pt idx="3">
                  <c:v>Profile 5</c:v>
                </c:pt>
                <c:pt idx="4">
                  <c:v>Profile 6</c:v>
                </c:pt>
                <c:pt idx="5">
                  <c:v>Profile 3</c:v>
                </c:pt>
                <c:pt idx="6">
                  <c:v>Profile 1</c:v>
                </c:pt>
                <c:pt idx="7">
                  <c:v>Profile 2</c:v>
                </c:pt>
                <c:pt idx="8">
                  <c:v>Profile 7</c:v>
                </c:pt>
              </c:strCache>
            </c:strRef>
          </c:cat>
          <c:val>
            <c:numRef>
              <c:f>'Profile Frequency'!$B$2:$B$10</c:f>
              <c:numCache>
                <c:formatCode>General</c:formatCode>
                <c:ptCount val="9"/>
                <c:pt idx="0">
                  <c:v>21</c:v>
                </c:pt>
                <c:pt idx="1">
                  <c:v>17</c:v>
                </c:pt>
                <c:pt idx="2">
                  <c:v>14</c:v>
                </c:pt>
                <c:pt idx="3">
                  <c:v>5</c:v>
                </c:pt>
                <c:pt idx="4">
                  <c:v>14</c:v>
                </c:pt>
                <c:pt idx="5">
                  <c:v>8</c:v>
                </c:pt>
                <c:pt idx="6">
                  <c:v>4</c:v>
                </c:pt>
                <c:pt idx="7">
                  <c:v>14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AF-4C64-AE2C-E66285E287A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14340896"/>
        <c:axId val="1914338016"/>
      </c:barChart>
      <c:catAx>
        <c:axId val="19143408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Profiles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4338016"/>
        <c:crosses val="autoZero"/>
        <c:auto val="1"/>
        <c:lblAlgn val="ctr"/>
        <c:lblOffset val="100"/>
        <c:noMultiLvlLbl val="0"/>
      </c:catAx>
      <c:valAx>
        <c:axId val="1914338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4340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[MainCAA.xlsx]Number of patties!PivotTable1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Single</a:t>
            </a:r>
            <a:r>
              <a:rPr lang="en-US" baseline="0"/>
              <a:t> vs Double patties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'Number of patties'!$D$1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'Number of patties'!$C$2:$C$4</c:f>
              <c:strCache>
                <c:ptCount val="2"/>
                <c:pt idx="0">
                  <c:v>Double</c:v>
                </c:pt>
                <c:pt idx="1">
                  <c:v>Single</c:v>
                </c:pt>
              </c:strCache>
            </c:strRef>
          </c:cat>
          <c:val>
            <c:numRef>
              <c:f>'Number of patties'!$D$2:$D$4</c:f>
              <c:numCache>
                <c:formatCode>General</c:formatCode>
                <c:ptCount val="2"/>
                <c:pt idx="0">
                  <c:v>16</c:v>
                </c:pt>
                <c:pt idx="1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41-4BB3-ADDB-34305A2D49A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79598303"/>
        <c:axId val="1079601183"/>
      </c:barChart>
      <c:catAx>
        <c:axId val="10795983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Number of patties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9601183"/>
        <c:crosses val="autoZero"/>
        <c:auto val="1"/>
        <c:lblAlgn val="ctr"/>
        <c:lblOffset val="100"/>
        <c:noMultiLvlLbl val="0"/>
      </c:catAx>
      <c:valAx>
        <c:axId val="1079601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95983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</xdr:colOff>
      <xdr:row>7</xdr:row>
      <xdr:rowOff>133350</xdr:rowOff>
    </xdr:from>
    <xdr:to>
      <xdr:col>13</xdr:col>
      <xdr:colOff>7620</xdr:colOff>
      <xdr:row>24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AC0FC14-4FD9-C592-8C8B-FA5DCD23FD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312420</xdr:colOff>
      <xdr:row>0</xdr:row>
      <xdr:rowOff>118110</xdr:rowOff>
    </xdr:from>
    <xdr:to>
      <xdr:col>11</xdr:col>
      <xdr:colOff>7620</xdr:colOff>
      <xdr:row>15</xdr:row>
      <xdr:rowOff>118110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6EA723-324C-3346-74D2-62D2519482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99060</xdr:colOff>
      <xdr:row>7</xdr:row>
      <xdr:rowOff>133350</xdr:rowOff>
    </xdr:from>
    <xdr:to>
      <xdr:col>10</xdr:col>
      <xdr:colOff>403860</xdr:colOff>
      <xdr:row>22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8D892FE-46D0-E6E0-1428-A3B6CF96A9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571500</xdr:colOff>
      <xdr:row>4</xdr:row>
      <xdr:rowOff>11430</xdr:rowOff>
    </xdr:from>
    <xdr:to>
      <xdr:col>13</xdr:col>
      <xdr:colOff>0</xdr:colOff>
      <xdr:row>21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A16E3B7-E511-0B97-E665-4A737B4C0C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156210</xdr:rowOff>
    </xdr:from>
    <xdr:to>
      <xdr:col>11</xdr:col>
      <xdr:colOff>601980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A66867-B198-C051-8B03-D39CFA3CF3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 Aryan Rajashekhar" refreshedDate="45772.859687384262" createdVersion="8" refreshedVersion="8" minRefreshableVersion="3" recordCount="57" xr:uid="{EA499308-B9A4-40E0-8EEC-1FE993F573D2}">
  <cacheSource type="worksheet">
    <worksheetSource ref="A1:A58" sheet="Number of patties"/>
  </cacheSource>
  <cacheFields count="1">
    <cacheField name="Number of Patty" numFmtId="0">
      <sharedItems count="2">
        <s v="Single"/>
        <s v="Doubl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 Aryan Rajashekhar" refreshedDate="45772.86472002315" createdVersion="8" refreshedVersion="8" minRefreshableVersion="3" recordCount="57" xr:uid="{15A4939D-63B4-4CFB-8E99-E249DC15F03D}">
  <cacheSource type="worksheet">
    <worksheetSource ref="A1:A58" sheet="Price"/>
  </cacheSource>
  <cacheFields count="1">
    <cacheField name="Price" numFmtId="0">
      <sharedItems containsSemiMixedTypes="0" containsString="0" containsNumber="1" minValue="8.9499999999999993" maxValue="11.95" count="2">
        <n v="11.95"/>
        <n v="8.949999999999999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7">
  <r>
    <x v="0"/>
  </r>
  <r>
    <x v="1"/>
  </r>
  <r>
    <x v="0"/>
  </r>
  <r>
    <x v="0"/>
  </r>
  <r>
    <x v="1"/>
  </r>
  <r>
    <x v="1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1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1"/>
  </r>
  <r>
    <x v="1"/>
  </r>
  <r>
    <x v="0"/>
  </r>
  <r>
    <x v="0"/>
  </r>
  <r>
    <x v="1"/>
  </r>
  <r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7">
  <r>
    <x v="0"/>
  </r>
  <r>
    <x v="1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1"/>
  </r>
  <r>
    <x v="0"/>
  </r>
  <r>
    <x v="1"/>
  </r>
  <r>
    <x v="1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0"/>
  </r>
  <r>
    <x v="1"/>
  </r>
  <r>
    <x v="0"/>
  </r>
  <r>
    <x v="1"/>
  </r>
  <r>
    <x v="1"/>
  </r>
  <r>
    <x v="0"/>
  </r>
  <r>
    <x v="1"/>
  </r>
  <r>
    <x v="0"/>
  </r>
  <r>
    <x v="0"/>
  </r>
  <r>
    <x v="1"/>
  </r>
  <r>
    <x v="0"/>
  </r>
  <r>
    <x v="0"/>
  </r>
  <r>
    <x v="0"/>
  </r>
  <r>
    <x v="1"/>
  </r>
  <r>
    <x v="1"/>
  </r>
  <r>
    <x v="0"/>
  </r>
  <r>
    <x v="1"/>
  </r>
  <r>
    <x v="1"/>
  </r>
  <r>
    <x v="0"/>
  </r>
  <r>
    <x v="0"/>
  </r>
  <r>
    <x v="1"/>
  </r>
  <r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D734E6-29B5-4605-8574-A9160D7E8861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4">
  <location ref="C1:D4" firstHeaderRow="1" firstDataRow="1" firstDataCol="1"/>
  <pivotFields count="1">
    <pivotField axis="axisRow" dataField="1" showAll="0">
      <items count="3">
        <item x="1"/>
        <item x="0"/>
        <item t="default"/>
      </items>
    </pivotField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Count of Price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BEAE35-ADF4-484D-8486-A24F834C420E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7">
  <location ref="C1:D4" firstHeaderRow="1" firstDataRow="1" firstDataCol="1"/>
  <pivotFields count="1">
    <pivotField axis="axisRow" dataField="1" showAll="0">
      <items count="3">
        <item x="1"/>
        <item x="0"/>
        <item t="default"/>
      </items>
    </pivotField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Count of Number of Patty" fld="0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546D7DA5-FDCD-4953-87D0-2CCEC4597EE5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Type of patty frequency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560CC7FF-143B-41EB-8B90-4F98E0D2524A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unt of tyoe of bread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30EC934-D7E1-4633-8042-82360898BCDF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Frequency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E46E86E-B52E-40AD-BE13-6900341C1A88}" name="Table3_1" displayName="Table3_1" ref="A1:B5" tableType="queryTable" totalsRowShown="0">
  <autoFilter ref="A1:B5" xr:uid="{EE46E86E-B52E-40AD-BE13-6900341C1A88}"/>
  <tableColumns count="2">
    <tableColumn id="1" xr3:uid="{363E4BA2-A413-464F-9EB0-C100A8793084}" uniqueName="1" name="Column1" queryTableFieldId="1" dataDxfId="5"/>
    <tableColumn id="2" xr3:uid="{14345BE4-2A09-41A4-954B-DF1A2FACCB11}" uniqueName="2" name="Type of patty frequency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66C77E9-B85F-430F-AA1D-05209C049BB4}" name="Table5_1" displayName="Table5_1" ref="A1:B5" tableType="queryTable" totalsRowShown="0">
  <autoFilter ref="A1:B5" xr:uid="{366C77E9-B85F-430F-AA1D-05209C049BB4}"/>
  <tableColumns count="2">
    <tableColumn id="1" xr3:uid="{D696D053-F661-49FE-9C1F-C9A32082C0AE}" uniqueName="1" name="Column1" queryTableFieldId="1" dataDxfId="4"/>
    <tableColumn id="2" xr3:uid="{6BF90B24-AB68-490D-A6A4-C4B257DD3B07}" uniqueName="2" name="Count of tyoe of bread" queryTableField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5AE9D0E-9963-4917-AF3D-F6ABD609400B}" name="Table1_1" displayName="Table1_1" ref="A1:B10" tableType="queryTable" totalsRowShown="0">
  <autoFilter ref="A1:B10" xr:uid="{95AE9D0E-9963-4917-AF3D-F6ABD609400B}"/>
  <tableColumns count="2">
    <tableColumn id="1" xr3:uid="{E7EEBADA-8A56-4F2F-841A-896D0B43EAF0}" uniqueName="1" name="Column1" queryTableFieldId="1" dataDxfId="3"/>
    <tableColumn id="2" xr3:uid="{3B58FAD9-83DA-451B-A591-37EF0E2AF11E}" uniqueName="2" name="Frequency" queryTableFieldId="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57F27BF-3206-409B-81E3-2FE71107F048}" name="Table3" displayName="Table3" ref="A23:A81" totalsRowShown="0">
  <autoFilter ref="A23:A81" xr:uid="{B57F27BF-3206-409B-81E3-2FE71107F048}"/>
  <tableColumns count="1">
    <tableColumn id="1" xr3:uid="{E6D74B2F-EEDD-4D0B-86BB-FEA11F0D278F}" name="Column1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C14214E-78C3-4C79-B623-73FA09A28A17}" name="Table5" displayName="Table5" ref="A84:A141" totalsRowShown="0">
  <autoFilter ref="A84:A141" xr:uid="{CC14214E-78C3-4C79-B623-73FA09A28A17}"/>
  <tableColumns count="1">
    <tableColumn id="1" xr3:uid="{34D1EFDA-6F9F-4AF8-9F35-29101AE3E1B2}" name="Column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drawing" Target="../drawings/drawing4.xml"/><Relationship Id="rId4" Type="http://schemas.openxmlformats.org/officeDocument/2006/relationships/table" Target="../tables/table5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7CB4C-B3AA-4ED3-86FA-E27A1B93FE25}">
  <sheetPr codeName="Sheet1"/>
  <dimension ref="A1:I65"/>
  <sheetViews>
    <sheetView workbookViewId="0">
      <selection activeCell="A5" sqref="A5:I6"/>
    </sheetView>
  </sheetViews>
  <sheetFormatPr defaultColWidth="8.77734375" defaultRowHeight="14.4" x14ac:dyDescent="0.3"/>
  <sheetData>
    <row r="1" spans="1:9" x14ac:dyDescent="0.3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</row>
    <row r="2" spans="1:9" x14ac:dyDescent="0.3">
      <c r="A2">
        <v>6</v>
      </c>
      <c r="B2">
        <v>6</v>
      </c>
      <c r="C2">
        <v>6</v>
      </c>
      <c r="D2">
        <v>5</v>
      </c>
      <c r="E2">
        <v>6</v>
      </c>
      <c r="F2">
        <v>6</v>
      </c>
      <c r="G2">
        <v>6</v>
      </c>
      <c r="H2">
        <v>7</v>
      </c>
      <c r="I2">
        <v>5</v>
      </c>
    </row>
    <row r="3" spans="1:9" x14ac:dyDescent="0.3">
      <c r="A3">
        <v>7</v>
      </c>
      <c r="B3">
        <v>7</v>
      </c>
      <c r="C3">
        <v>5</v>
      </c>
      <c r="D3">
        <v>6</v>
      </c>
      <c r="E3">
        <v>5</v>
      </c>
      <c r="F3">
        <v>4</v>
      </c>
      <c r="G3">
        <v>5</v>
      </c>
      <c r="H3">
        <v>6</v>
      </c>
      <c r="I3">
        <v>7</v>
      </c>
    </row>
    <row r="4" spans="1:9" x14ac:dyDescent="0.3">
      <c r="A4">
        <v>1</v>
      </c>
      <c r="B4">
        <v>7</v>
      </c>
      <c r="C4">
        <v>5</v>
      </c>
      <c r="D4">
        <v>7</v>
      </c>
      <c r="E4">
        <v>3</v>
      </c>
      <c r="F4">
        <v>4</v>
      </c>
      <c r="G4">
        <v>1</v>
      </c>
      <c r="H4">
        <v>7</v>
      </c>
      <c r="I4">
        <v>4</v>
      </c>
    </row>
    <row r="5" spans="1:9" x14ac:dyDescent="0.3">
      <c r="A5">
        <v>7</v>
      </c>
      <c r="B5">
        <v>7</v>
      </c>
      <c r="C5">
        <v>7</v>
      </c>
      <c r="D5">
        <v>7</v>
      </c>
      <c r="E5">
        <v>7</v>
      </c>
      <c r="F5">
        <v>7</v>
      </c>
      <c r="G5">
        <v>7</v>
      </c>
      <c r="H5">
        <v>7</v>
      </c>
      <c r="I5">
        <v>7</v>
      </c>
    </row>
    <row r="6" spans="1:9" x14ac:dyDescent="0.3">
      <c r="A6">
        <v>4</v>
      </c>
      <c r="B6">
        <v>4</v>
      </c>
      <c r="C6">
        <v>4</v>
      </c>
      <c r="D6">
        <v>4</v>
      </c>
      <c r="E6">
        <v>4</v>
      </c>
      <c r="F6">
        <v>4</v>
      </c>
      <c r="G6">
        <v>4</v>
      </c>
      <c r="H6">
        <v>4</v>
      </c>
      <c r="I6">
        <v>4</v>
      </c>
    </row>
    <row r="7" spans="1:9" x14ac:dyDescent="0.3">
      <c r="A7">
        <v>2</v>
      </c>
      <c r="B7">
        <v>4</v>
      </c>
      <c r="C7">
        <v>1</v>
      </c>
      <c r="D7">
        <v>3</v>
      </c>
      <c r="E7">
        <v>6</v>
      </c>
      <c r="F7">
        <v>3</v>
      </c>
      <c r="G7">
        <v>5</v>
      </c>
      <c r="H7">
        <v>3</v>
      </c>
      <c r="I7">
        <v>5</v>
      </c>
    </row>
    <row r="8" spans="1:9" x14ac:dyDescent="0.3">
      <c r="A8">
        <v>3</v>
      </c>
      <c r="B8">
        <v>2</v>
      </c>
      <c r="C8">
        <v>4</v>
      </c>
      <c r="D8">
        <v>4</v>
      </c>
      <c r="E8">
        <v>3</v>
      </c>
      <c r="F8">
        <v>6</v>
      </c>
      <c r="G8">
        <v>5</v>
      </c>
      <c r="H8">
        <v>6</v>
      </c>
      <c r="I8">
        <v>4</v>
      </c>
    </row>
    <row r="9" spans="1:9" x14ac:dyDescent="0.3">
      <c r="A9">
        <v>6</v>
      </c>
      <c r="B9">
        <v>7</v>
      </c>
      <c r="C9">
        <v>6</v>
      </c>
      <c r="D9">
        <v>7</v>
      </c>
      <c r="E9">
        <v>5</v>
      </c>
      <c r="F9">
        <v>6</v>
      </c>
      <c r="G9">
        <v>5</v>
      </c>
      <c r="H9">
        <v>7</v>
      </c>
      <c r="I9">
        <v>6</v>
      </c>
    </row>
    <row r="10" spans="1:9" x14ac:dyDescent="0.3">
      <c r="A10">
        <v>5</v>
      </c>
      <c r="B10">
        <v>5</v>
      </c>
      <c r="C10">
        <v>6</v>
      </c>
      <c r="D10">
        <v>2</v>
      </c>
      <c r="E10">
        <v>6</v>
      </c>
      <c r="F10">
        <v>6</v>
      </c>
      <c r="G10">
        <v>2</v>
      </c>
      <c r="H10">
        <v>3</v>
      </c>
      <c r="I10">
        <v>2</v>
      </c>
    </row>
    <row r="11" spans="1:9" x14ac:dyDescent="0.3">
      <c r="A11">
        <v>6</v>
      </c>
      <c r="B11">
        <v>4</v>
      </c>
      <c r="C11">
        <v>4</v>
      </c>
      <c r="D11">
        <v>4</v>
      </c>
      <c r="E11">
        <v>5</v>
      </c>
      <c r="F11">
        <v>6</v>
      </c>
      <c r="G11">
        <v>4</v>
      </c>
      <c r="H11">
        <v>6</v>
      </c>
      <c r="I11">
        <v>5</v>
      </c>
    </row>
    <row r="12" spans="1:9" x14ac:dyDescent="0.3">
      <c r="A12">
        <v>3</v>
      </c>
      <c r="B12">
        <v>3</v>
      </c>
      <c r="C12">
        <v>4</v>
      </c>
      <c r="D12">
        <v>4</v>
      </c>
      <c r="E12">
        <v>4</v>
      </c>
      <c r="F12">
        <v>4</v>
      </c>
      <c r="G12">
        <v>4</v>
      </c>
      <c r="H12">
        <v>4</v>
      </c>
      <c r="I12">
        <v>4</v>
      </c>
    </row>
    <row r="13" spans="1:9" x14ac:dyDescent="0.3">
      <c r="A13">
        <v>7</v>
      </c>
      <c r="B13">
        <v>7</v>
      </c>
      <c r="C13">
        <v>3</v>
      </c>
      <c r="D13">
        <v>7</v>
      </c>
      <c r="E13">
        <v>7</v>
      </c>
      <c r="F13">
        <v>2</v>
      </c>
      <c r="G13">
        <v>7</v>
      </c>
      <c r="H13">
        <v>7</v>
      </c>
      <c r="I13">
        <v>7</v>
      </c>
    </row>
    <row r="14" spans="1:9" x14ac:dyDescent="0.3">
      <c r="A14">
        <v>7</v>
      </c>
      <c r="B14">
        <v>7</v>
      </c>
      <c r="C14">
        <v>7</v>
      </c>
      <c r="D14">
        <v>7</v>
      </c>
      <c r="E14">
        <v>7</v>
      </c>
      <c r="F14">
        <v>7</v>
      </c>
      <c r="G14">
        <v>7</v>
      </c>
      <c r="H14">
        <v>7</v>
      </c>
      <c r="I14">
        <v>7</v>
      </c>
    </row>
    <row r="15" spans="1:9" x14ac:dyDescent="0.3">
      <c r="A15">
        <v>1</v>
      </c>
      <c r="B15">
        <v>1</v>
      </c>
      <c r="C15">
        <v>7</v>
      </c>
      <c r="D15">
        <v>7</v>
      </c>
      <c r="E15">
        <v>7</v>
      </c>
      <c r="F15">
        <v>7</v>
      </c>
      <c r="G15">
        <v>7</v>
      </c>
      <c r="H15">
        <v>7</v>
      </c>
      <c r="I15">
        <v>7</v>
      </c>
    </row>
    <row r="16" spans="1:9" x14ac:dyDescent="0.3">
      <c r="A16">
        <v>5</v>
      </c>
      <c r="B16">
        <v>6</v>
      </c>
      <c r="C16">
        <v>6</v>
      </c>
      <c r="D16">
        <v>7</v>
      </c>
      <c r="E16">
        <v>5</v>
      </c>
      <c r="F16">
        <v>5</v>
      </c>
      <c r="G16">
        <v>5</v>
      </c>
      <c r="H16">
        <v>7</v>
      </c>
      <c r="I16">
        <v>6</v>
      </c>
    </row>
    <row r="17" spans="1:9" x14ac:dyDescent="0.3">
      <c r="A17">
        <v>1</v>
      </c>
      <c r="B17">
        <v>5</v>
      </c>
      <c r="C17">
        <v>5</v>
      </c>
      <c r="D17">
        <v>6</v>
      </c>
      <c r="E17">
        <v>4</v>
      </c>
      <c r="F17">
        <v>5</v>
      </c>
      <c r="G17">
        <v>3</v>
      </c>
      <c r="H17">
        <v>6</v>
      </c>
      <c r="I17">
        <v>7</v>
      </c>
    </row>
    <row r="18" spans="1:9" x14ac:dyDescent="0.3">
      <c r="A18">
        <v>3</v>
      </c>
      <c r="B18">
        <v>2</v>
      </c>
      <c r="C18">
        <v>3</v>
      </c>
      <c r="D18">
        <v>6</v>
      </c>
      <c r="E18">
        <v>5</v>
      </c>
      <c r="F18">
        <v>5</v>
      </c>
      <c r="G18">
        <v>4</v>
      </c>
      <c r="H18">
        <v>7</v>
      </c>
      <c r="I18">
        <v>7</v>
      </c>
    </row>
    <row r="19" spans="1:9" x14ac:dyDescent="0.3">
      <c r="A19">
        <v>6</v>
      </c>
      <c r="B19">
        <v>6</v>
      </c>
      <c r="C19">
        <v>7</v>
      </c>
      <c r="D19">
        <v>7</v>
      </c>
      <c r="E19">
        <v>6</v>
      </c>
      <c r="F19">
        <v>4</v>
      </c>
      <c r="G19">
        <v>5</v>
      </c>
      <c r="H19">
        <v>7</v>
      </c>
      <c r="I19">
        <v>5</v>
      </c>
    </row>
    <row r="20" spans="1:9" x14ac:dyDescent="0.3">
      <c r="A20">
        <v>6</v>
      </c>
      <c r="B20">
        <v>7</v>
      </c>
      <c r="C20">
        <v>5</v>
      </c>
      <c r="D20">
        <v>6</v>
      </c>
      <c r="E20">
        <v>6</v>
      </c>
      <c r="F20">
        <v>5</v>
      </c>
      <c r="G20">
        <v>5</v>
      </c>
      <c r="H20">
        <v>7</v>
      </c>
      <c r="I20">
        <v>7</v>
      </c>
    </row>
    <row r="21" spans="1:9" x14ac:dyDescent="0.3">
      <c r="A21">
        <v>7</v>
      </c>
      <c r="B21">
        <v>7</v>
      </c>
      <c r="C21">
        <v>4</v>
      </c>
      <c r="D21">
        <v>6</v>
      </c>
      <c r="E21">
        <v>3</v>
      </c>
      <c r="F21">
        <v>5</v>
      </c>
      <c r="G21">
        <v>3</v>
      </c>
      <c r="H21">
        <v>5</v>
      </c>
      <c r="I21">
        <v>5</v>
      </c>
    </row>
    <row r="22" spans="1:9" x14ac:dyDescent="0.3">
      <c r="A22">
        <v>5</v>
      </c>
      <c r="B22">
        <v>6</v>
      </c>
      <c r="C22">
        <v>5</v>
      </c>
      <c r="D22">
        <v>5</v>
      </c>
      <c r="E22">
        <v>5</v>
      </c>
      <c r="F22">
        <v>3</v>
      </c>
      <c r="G22">
        <v>3</v>
      </c>
      <c r="H22">
        <v>5</v>
      </c>
      <c r="I22">
        <v>7</v>
      </c>
    </row>
    <row r="23" spans="1:9" x14ac:dyDescent="0.3">
      <c r="A23">
        <v>4</v>
      </c>
      <c r="B23">
        <v>5</v>
      </c>
      <c r="C23">
        <v>6</v>
      </c>
      <c r="D23">
        <v>5</v>
      </c>
      <c r="E23">
        <v>5</v>
      </c>
      <c r="F23">
        <v>5</v>
      </c>
      <c r="G23">
        <v>5</v>
      </c>
      <c r="H23">
        <v>5</v>
      </c>
      <c r="I23">
        <v>6</v>
      </c>
    </row>
    <row r="24" spans="1:9" x14ac:dyDescent="0.3">
      <c r="A24">
        <v>2</v>
      </c>
      <c r="B24">
        <v>2</v>
      </c>
      <c r="C24">
        <v>3</v>
      </c>
      <c r="D24">
        <v>6</v>
      </c>
      <c r="E24">
        <v>6</v>
      </c>
      <c r="F24">
        <v>1</v>
      </c>
      <c r="G24">
        <v>5</v>
      </c>
      <c r="H24">
        <v>5</v>
      </c>
      <c r="I24">
        <v>6</v>
      </c>
    </row>
    <row r="25" spans="1:9" x14ac:dyDescent="0.3">
      <c r="A25">
        <v>6</v>
      </c>
      <c r="B25">
        <v>7</v>
      </c>
      <c r="C25">
        <v>6</v>
      </c>
      <c r="D25">
        <v>6</v>
      </c>
      <c r="E25">
        <v>5</v>
      </c>
      <c r="F25">
        <v>6</v>
      </c>
      <c r="G25">
        <v>5</v>
      </c>
      <c r="H25">
        <v>7</v>
      </c>
      <c r="I25">
        <v>6</v>
      </c>
    </row>
    <row r="26" spans="1:9" x14ac:dyDescent="0.3">
      <c r="A26">
        <v>1</v>
      </c>
      <c r="B26">
        <v>5</v>
      </c>
      <c r="C26">
        <v>1</v>
      </c>
      <c r="D26">
        <v>7</v>
      </c>
      <c r="E26">
        <v>1</v>
      </c>
      <c r="F26">
        <v>1</v>
      </c>
      <c r="G26">
        <v>1</v>
      </c>
      <c r="H26">
        <v>7</v>
      </c>
      <c r="I26">
        <v>5</v>
      </c>
    </row>
    <row r="27" spans="1:9" x14ac:dyDescent="0.3">
      <c r="A27">
        <v>5</v>
      </c>
      <c r="B27">
        <v>6</v>
      </c>
      <c r="C27">
        <v>6</v>
      </c>
      <c r="D27">
        <v>1</v>
      </c>
      <c r="E27">
        <v>7</v>
      </c>
      <c r="F27">
        <v>7</v>
      </c>
      <c r="G27">
        <v>5</v>
      </c>
      <c r="H27">
        <v>6</v>
      </c>
      <c r="I27">
        <v>5</v>
      </c>
    </row>
    <row r="28" spans="1:9" x14ac:dyDescent="0.3">
      <c r="A28">
        <v>6</v>
      </c>
      <c r="B28">
        <v>6</v>
      </c>
      <c r="C28">
        <v>6</v>
      </c>
      <c r="D28">
        <v>6</v>
      </c>
      <c r="E28">
        <v>6</v>
      </c>
      <c r="F28">
        <v>6</v>
      </c>
      <c r="G28">
        <v>6</v>
      </c>
      <c r="H28">
        <v>5</v>
      </c>
      <c r="I28">
        <v>5</v>
      </c>
    </row>
    <row r="29" spans="1:9" x14ac:dyDescent="0.3">
      <c r="A29">
        <v>5</v>
      </c>
      <c r="B29">
        <v>4</v>
      </c>
      <c r="C29">
        <v>6</v>
      </c>
      <c r="D29">
        <v>7</v>
      </c>
      <c r="E29">
        <v>7</v>
      </c>
      <c r="F29">
        <v>7</v>
      </c>
      <c r="G29">
        <v>5</v>
      </c>
      <c r="H29">
        <v>4</v>
      </c>
      <c r="I29">
        <v>3</v>
      </c>
    </row>
    <row r="30" spans="1:9" x14ac:dyDescent="0.3">
      <c r="A30">
        <v>4</v>
      </c>
      <c r="B30">
        <v>4</v>
      </c>
      <c r="C30">
        <v>4</v>
      </c>
      <c r="D30">
        <v>4</v>
      </c>
      <c r="E30">
        <v>4</v>
      </c>
      <c r="F30">
        <v>4</v>
      </c>
      <c r="G30">
        <v>4</v>
      </c>
      <c r="H30">
        <v>4</v>
      </c>
      <c r="I30">
        <v>4</v>
      </c>
    </row>
    <row r="31" spans="1:9" x14ac:dyDescent="0.3">
      <c r="A31">
        <v>5</v>
      </c>
      <c r="B31">
        <v>5</v>
      </c>
      <c r="C31">
        <v>5</v>
      </c>
      <c r="D31">
        <v>5</v>
      </c>
      <c r="E31">
        <v>5</v>
      </c>
      <c r="F31">
        <v>5</v>
      </c>
      <c r="G31">
        <v>5</v>
      </c>
      <c r="H31">
        <v>7</v>
      </c>
      <c r="I31">
        <v>4</v>
      </c>
    </row>
    <row r="32" spans="1:9" x14ac:dyDescent="0.3">
      <c r="A32">
        <v>4</v>
      </c>
      <c r="B32">
        <v>4</v>
      </c>
      <c r="C32">
        <v>4</v>
      </c>
      <c r="D32">
        <v>4</v>
      </c>
      <c r="E32">
        <v>6</v>
      </c>
      <c r="F32">
        <v>7</v>
      </c>
      <c r="G32">
        <v>7</v>
      </c>
      <c r="H32">
        <v>7</v>
      </c>
      <c r="I32">
        <v>7</v>
      </c>
    </row>
    <row r="33" spans="1:9" x14ac:dyDescent="0.3">
      <c r="A33">
        <v>6</v>
      </c>
      <c r="B33">
        <v>7</v>
      </c>
      <c r="C33">
        <v>6</v>
      </c>
      <c r="D33">
        <v>6</v>
      </c>
      <c r="E33">
        <v>5</v>
      </c>
      <c r="F33">
        <v>5</v>
      </c>
      <c r="G33">
        <v>5</v>
      </c>
      <c r="H33">
        <v>7</v>
      </c>
      <c r="I33">
        <v>7</v>
      </c>
    </row>
    <row r="34" spans="1:9" x14ac:dyDescent="0.3">
      <c r="A34">
        <v>5</v>
      </c>
      <c r="B34">
        <v>6</v>
      </c>
      <c r="C34">
        <v>7</v>
      </c>
      <c r="D34">
        <v>6</v>
      </c>
      <c r="E34">
        <v>5</v>
      </c>
      <c r="F34">
        <v>6</v>
      </c>
      <c r="G34">
        <v>3</v>
      </c>
      <c r="H34">
        <v>7</v>
      </c>
      <c r="I34">
        <v>7</v>
      </c>
    </row>
    <row r="35" spans="1:9" x14ac:dyDescent="0.3">
      <c r="A35">
        <v>3</v>
      </c>
      <c r="B35">
        <v>3</v>
      </c>
      <c r="C35">
        <v>3</v>
      </c>
      <c r="D35">
        <v>4</v>
      </c>
      <c r="E35">
        <v>4</v>
      </c>
      <c r="F35">
        <v>4</v>
      </c>
      <c r="G35">
        <v>4</v>
      </c>
      <c r="H35">
        <v>4</v>
      </c>
      <c r="I35">
        <v>4</v>
      </c>
    </row>
    <row r="36" spans="1:9" x14ac:dyDescent="0.3">
      <c r="A36">
        <v>3</v>
      </c>
      <c r="B36">
        <v>3</v>
      </c>
      <c r="C36">
        <v>5</v>
      </c>
      <c r="D36">
        <v>5</v>
      </c>
      <c r="E36">
        <v>6</v>
      </c>
      <c r="F36">
        <v>7</v>
      </c>
      <c r="G36">
        <v>6</v>
      </c>
      <c r="H36">
        <v>6</v>
      </c>
      <c r="I36">
        <v>5</v>
      </c>
    </row>
    <row r="37" spans="1:9" x14ac:dyDescent="0.3">
      <c r="A37">
        <v>1</v>
      </c>
      <c r="B37">
        <v>5</v>
      </c>
      <c r="C37">
        <v>2</v>
      </c>
      <c r="D37">
        <v>7</v>
      </c>
      <c r="E37">
        <v>1</v>
      </c>
      <c r="F37">
        <v>2</v>
      </c>
      <c r="G37">
        <v>1</v>
      </c>
      <c r="H37">
        <v>6</v>
      </c>
      <c r="I37">
        <v>5</v>
      </c>
    </row>
    <row r="38" spans="1:9" x14ac:dyDescent="0.3">
      <c r="A38">
        <v>7</v>
      </c>
      <c r="B38">
        <v>7</v>
      </c>
      <c r="C38">
        <v>7</v>
      </c>
      <c r="D38">
        <v>7</v>
      </c>
      <c r="E38">
        <v>6</v>
      </c>
      <c r="F38">
        <v>6</v>
      </c>
      <c r="G38">
        <v>6</v>
      </c>
      <c r="H38">
        <v>6</v>
      </c>
      <c r="I38">
        <v>6</v>
      </c>
    </row>
    <row r="39" spans="1:9" x14ac:dyDescent="0.3">
      <c r="A39">
        <v>4</v>
      </c>
      <c r="B39">
        <v>4</v>
      </c>
      <c r="C39">
        <v>5</v>
      </c>
      <c r="D39">
        <v>4</v>
      </c>
      <c r="E39">
        <v>4</v>
      </c>
      <c r="F39">
        <v>5</v>
      </c>
      <c r="G39">
        <v>4</v>
      </c>
      <c r="H39">
        <v>4</v>
      </c>
      <c r="I39">
        <v>4</v>
      </c>
    </row>
    <row r="40" spans="1:9" x14ac:dyDescent="0.3">
      <c r="A40">
        <v>5</v>
      </c>
      <c r="B40">
        <v>5</v>
      </c>
      <c r="C40">
        <v>6</v>
      </c>
      <c r="D40">
        <v>7</v>
      </c>
      <c r="E40">
        <v>5</v>
      </c>
      <c r="F40">
        <v>4</v>
      </c>
      <c r="G40">
        <v>5</v>
      </c>
      <c r="H40">
        <v>6</v>
      </c>
      <c r="I40">
        <v>6</v>
      </c>
    </row>
    <row r="41" spans="1:9" x14ac:dyDescent="0.3">
      <c r="A41">
        <v>1</v>
      </c>
      <c r="B41">
        <v>1</v>
      </c>
      <c r="C41">
        <v>1</v>
      </c>
      <c r="D41">
        <v>6</v>
      </c>
      <c r="E41">
        <v>6</v>
      </c>
      <c r="F41">
        <v>6</v>
      </c>
      <c r="G41">
        <v>2</v>
      </c>
      <c r="H41">
        <v>2</v>
      </c>
      <c r="I41">
        <v>2</v>
      </c>
    </row>
    <row r="42" spans="1:9" x14ac:dyDescent="0.3">
      <c r="A42">
        <v>7</v>
      </c>
      <c r="B42">
        <v>7</v>
      </c>
      <c r="C42">
        <v>7</v>
      </c>
      <c r="D42">
        <v>1</v>
      </c>
      <c r="E42">
        <v>1</v>
      </c>
      <c r="F42">
        <v>4</v>
      </c>
      <c r="G42">
        <v>2</v>
      </c>
      <c r="H42">
        <v>2</v>
      </c>
      <c r="I42">
        <v>7</v>
      </c>
    </row>
    <row r="43" spans="1:9" x14ac:dyDescent="0.3">
      <c r="A43">
        <v>6</v>
      </c>
      <c r="B43">
        <v>6</v>
      </c>
      <c r="C43">
        <v>5</v>
      </c>
      <c r="D43">
        <v>7</v>
      </c>
      <c r="E43">
        <v>7</v>
      </c>
      <c r="F43">
        <v>6</v>
      </c>
      <c r="G43">
        <v>6</v>
      </c>
      <c r="H43">
        <v>7</v>
      </c>
      <c r="I43">
        <v>7</v>
      </c>
    </row>
    <row r="44" spans="1:9" x14ac:dyDescent="0.3">
      <c r="A44">
        <v>3</v>
      </c>
      <c r="B44">
        <v>7</v>
      </c>
      <c r="C44">
        <v>6</v>
      </c>
      <c r="D44">
        <v>7</v>
      </c>
      <c r="E44">
        <v>1</v>
      </c>
      <c r="F44">
        <v>3</v>
      </c>
      <c r="G44">
        <v>5</v>
      </c>
      <c r="H44">
        <v>6</v>
      </c>
      <c r="I44">
        <v>3</v>
      </c>
    </row>
    <row r="45" spans="1:9" x14ac:dyDescent="0.3">
      <c r="A45">
        <v>5</v>
      </c>
      <c r="B45">
        <v>6</v>
      </c>
      <c r="C45">
        <v>4</v>
      </c>
      <c r="D45">
        <v>4</v>
      </c>
      <c r="E45">
        <v>3</v>
      </c>
      <c r="F45">
        <v>3</v>
      </c>
      <c r="G45">
        <v>4</v>
      </c>
      <c r="H45">
        <v>3</v>
      </c>
      <c r="I45">
        <v>4</v>
      </c>
    </row>
    <row r="46" spans="1:9" x14ac:dyDescent="0.3">
      <c r="A46">
        <v>7</v>
      </c>
      <c r="B46">
        <v>7</v>
      </c>
      <c r="C46">
        <v>7</v>
      </c>
      <c r="D46">
        <v>7</v>
      </c>
      <c r="E46">
        <v>7</v>
      </c>
      <c r="F46">
        <v>7</v>
      </c>
      <c r="G46">
        <v>7</v>
      </c>
      <c r="H46">
        <v>7</v>
      </c>
      <c r="I46">
        <v>7</v>
      </c>
    </row>
    <row r="47" spans="1:9" x14ac:dyDescent="0.3">
      <c r="A47">
        <v>1</v>
      </c>
      <c r="B47">
        <v>6</v>
      </c>
      <c r="C47">
        <v>6</v>
      </c>
      <c r="D47">
        <v>4</v>
      </c>
      <c r="E47">
        <v>1</v>
      </c>
      <c r="F47">
        <v>5</v>
      </c>
      <c r="G47">
        <v>1</v>
      </c>
      <c r="H47">
        <v>4</v>
      </c>
      <c r="I47">
        <v>6</v>
      </c>
    </row>
    <row r="48" spans="1:9" x14ac:dyDescent="0.3">
      <c r="A48">
        <v>6</v>
      </c>
      <c r="B48">
        <v>6</v>
      </c>
      <c r="C48">
        <v>6</v>
      </c>
      <c r="D48">
        <v>6</v>
      </c>
      <c r="E48">
        <v>6</v>
      </c>
      <c r="F48">
        <v>7</v>
      </c>
      <c r="G48">
        <v>6</v>
      </c>
      <c r="H48">
        <v>6</v>
      </c>
      <c r="I48">
        <v>6</v>
      </c>
    </row>
    <row r="49" spans="1:9" x14ac:dyDescent="0.3">
      <c r="A49">
        <v>5</v>
      </c>
      <c r="B49">
        <v>6</v>
      </c>
      <c r="C49">
        <v>4</v>
      </c>
      <c r="D49">
        <v>5</v>
      </c>
      <c r="E49">
        <v>5</v>
      </c>
      <c r="F49">
        <v>3</v>
      </c>
      <c r="G49">
        <v>5</v>
      </c>
      <c r="H49">
        <v>5</v>
      </c>
      <c r="I49">
        <v>5</v>
      </c>
    </row>
    <row r="50" spans="1:9" x14ac:dyDescent="0.3">
      <c r="A50">
        <v>4</v>
      </c>
      <c r="B50">
        <v>5</v>
      </c>
      <c r="C50">
        <v>3</v>
      </c>
      <c r="D50">
        <v>7</v>
      </c>
      <c r="E50">
        <v>6</v>
      </c>
      <c r="F50">
        <v>5</v>
      </c>
      <c r="G50">
        <v>5</v>
      </c>
      <c r="H50">
        <v>7</v>
      </c>
      <c r="I50">
        <v>6</v>
      </c>
    </row>
    <row r="51" spans="1:9" x14ac:dyDescent="0.3">
      <c r="A51">
        <v>6</v>
      </c>
      <c r="B51">
        <v>7</v>
      </c>
      <c r="C51">
        <v>5</v>
      </c>
      <c r="D51">
        <v>6</v>
      </c>
      <c r="E51">
        <v>4</v>
      </c>
      <c r="F51">
        <v>6</v>
      </c>
      <c r="G51">
        <v>6</v>
      </c>
      <c r="H51">
        <v>5</v>
      </c>
      <c r="I51">
        <v>7</v>
      </c>
    </row>
    <row r="52" spans="1:9" x14ac:dyDescent="0.3">
      <c r="A52">
        <v>5</v>
      </c>
      <c r="B52">
        <v>3</v>
      </c>
      <c r="C52">
        <v>5</v>
      </c>
      <c r="D52">
        <v>5</v>
      </c>
      <c r="E52">
        <v>5</v>
      </c>
      <c r="F52">
        <v>3</v>
      </c>
      <c r="G52">
        <v>7</v>
      </c>
      <c r="H52">
        <v>7</v>
      </c>
      <c r="I52">
        <v>7</v>
      </c>
    </row>
    <row r="53" spans="1:9" x14ac:dyDescent="0.3">
      <c r="A53">
        <v>3</v>
      </c>
      <c r="B53">
        <v>7</v>
      </c>
      <c r="C53">
        <v>3</v>
      </c>
      <c r="D53">
        <v>4</v>
      </c>
      <c r="E53">
        <v>5</v>
      </c>
      <c r="F53">
        <v>3</v>
      </c>
      <c r="G53">
        <v>6</v>
      </c>
      <c r="H53">
        <v>6</v>
      </c>
      <c r="I53">
        <v>7</v>
      </c>
    </row>
    <row r="54" spans="1:9" x14ac:dyDescent="0.3">
      <c r="A54">
        <v>5</v>
      </c>
      <c r="B54">
        <v>7</v>
      </c>
      <c r="C54">
        <v>5</v>
      </c>
      <c r="D54">
        <v>7</v>
      </c>
      <c r="E54">
        <v>7</v>
      </c>
      <c r="F54">
        <v>5</v>
      </c>
      <c r="G54">
        <v>6</v>
      </c>
      <c r="H54">
        <v>6</v>
      </c>
      <c r="I54">
        <v>6</v>
      </c>
    </row>
    <row r="55" spans="1:9" x14ac:dyDescent="0.3">
      <c r="A55">
        <v>5</v>
      </c>
      <c r="B55">
        <v>6</v>
      </c>
      <c r="C55">
        <v>2</v>
      </c>
      <c r="D55">
        <v>6</v>
      </c>
      <c r="E55">
        <v>4</v>
      </c>
      <c r="F55">
        <v>3</v>
      </c>
      <c r="G55">
        <v>5</v>
      </c>
      <c r="H55">
        <v>6</v>
      </c>
      <c r="I55">
        <v>6</v>
      </c>
    </row>
    <row r="56" spans="1:9" x14ac:dyDescent="0.3">
      <c r="A56">
        <v>7</v>
      </c>
      <c r="B56">
        <v>7</v>
      </c>
      <c r="C56">
        <v>7</v>
      </c>
      <c r="D56">
        <v>7</v>
      </c>
      <c r="E56">
        <v>7</v>
      </c>
      <c r="F56">
        <v>7</v>
      </c>
      <c r="G56">
        <v>6</v>
      </c>
      <c r="H56">
        <v>6</v>
      </c>
      <c r="I56">
        <v>7</v>
      </c>
    </row>
    <row r="57" spans="1:9" x14ac:dyDescent="0.3">
      <c r="A57">
        <v>4</v>
      </c>
      <c r="B57">
        <v>6</v>
      </c>
      <c r="C57">
        <v>6</v>
      </c>
      <c r="D57">
        <v>7</v>
      </c>
      <c r="E57">
        <v>6</v>
      </c>
      <c r="F57">
        <v>6</v>
      </c>
      <c r="G57">
        <v>5</v>
      </c>
      <c r="H57">
        <v>7</v>
      </c>
      <c r="I57">
        <v>6</v>
      </c>
    </row>
    <row r="58" spans="1:9" x14ac:dyDescent="0.3">
      <c r="A58">
        <v>6</v>
      </c>
      <c r="B58">
        <v>5</v>
      </c>
      <c r="C58">
        <v>5</v>
      </c>
      <c r="D58">
        <v>5</v>
      </c>
      <c r="E58">
        <v>5</v>
      </c>
      <c r="F58">
        <v>5</v>
      </c>
      <c r="G58">
        <v>6</v>
      </c>
      <c r="H58">
        <v>6</v>
      </c>
      <c r="I58">
        <v>7</v>
      </c>
    </row>
    <row r="59" spans="1:9" x14ac:dyDescent="0.3">
      <c r="A59">
        <v>4</v>
      </c>
      <c r="B59">
        <v>5</v>
      </c>
      <c r="C59">
        <v>5</v>
      </c>
      <c r="D59">
        <v>3</v>
      </c>
      <c r="E59">
        <v>3</v>
      </c>
      <c r="F59">
        <v>5</v>
      </c>
      <c r="G59">
        <v>5</v>
      </c>
      <c r="H59">
        <v>3</v>
      </c>
      <c r="I59">
        <v>5</v>
      </c>
    </row>
    <row r="60" spans="1:9" x14ac:dyDescent="0.3">
      <c r="A60">
        <v>5</v>
      </c>
      <c r="B60">
        <v>7</v>
      </c>
      <c r="C60">
        <v>1</v>
      </c>
      <c r="D60">
        <v>3</v>
      </c>
      <c r="E60">
        <v>4</v>
      </c>
      <c r="F60">
        <v>1</v>
      </c>
      <c r="G60">
        <v>3</v>
      </c>
      <c r="H60">
        <v>7</v>
      </c>
      <c r="I60">
        <v>7</v>
      </c>
    </row>
    <row r="61" spans="1:9" x14ac:dyDescent="0.3">
      <c r="A61">
        <v>3</v>
      </c>
      <c r="B61">
        <v>6</v>
      </c>
      <c r="C61">
        <v>1</v>
      </c>
      <c r="D61">
        <v>7</v>
      </c>
      <c r="E61">
        <v>7</v>
      </c>
      <c r="F61">
        <v>2</v>
      </c>
      <c r="G61">
        <v>2</v>
      </c>
      <c r="H61">
        <v>7</v>
      </c>
      <c r="I61">
        <v>6</v>
      </c>
    </row>
    <row r="62" spans="1:9" x14ac:dyDescent="0.3">
      <c r="A62">
        <v>3</v>
      </c>
      <c r="B62">
        <v>6</v>
      </c>
      <c r="C62">
        <v>6</v>
      </c>
      <c r="D62">
        <v>7</v>
      </c>
      <c r="E62">
        <v>4</v>
      </c>
      <c r="F62">
        <v>7</v>
      </c>
      <c r="G62">
        <v>5</v>
      </c>
      <c r="H62">
        <v>6</v>
      </c>
      <c r="I62">
        <v>6</v>
      </c>
    </row>
    <row r="63" spans="1:9" x14ac:dyDescent="0.3">
      <c r="A63">
        <v>5</v>
      </c>
      <c r="B63">
        <v>7</v>
      </c>
      <c r="C63">
        <v>6</v>
      </c>
      <c r="D63">
        <v>7</v>
      </c>
      <c r="E63">
        <v>6</v>
      </c>
      <c r="F63">
        <v>6</v>
      </c>
      <c r="G63">
        <v>5</v>
      </c>
      <c r="H63">
        <v>7</v>
      </c>
      <c r="I63">
        <v>7</v>
      </c>
    </row>
    <row r="64" spans="1:9" x14ac:dyDescent="0.3">
      <c r="A64" s="2" t="s">
        <v>0</v>
      </c>
      <c r="B64" s="2" t="s">
        <v>0</v>
      </c>
      <c r="C64" s="2" t="s">
        <v>0</v>
      </c>
      <c r="D64" s="2" t="s">
        <v>0</v>
      </c>
      <c r="E64" s="2" t="s">
        <v>0</v>
      </c>
      <c r="F64" s="2" t="s">
        <v>0</v>
      </c>
      <c r="G64" s="2" t="s">
        <v>0</v>
      </c>
      <c r="H64" s="2" t="s">
        <v>0</v>
      </c>
      <c r="I64" s="2" t="s">
        <v>0</v>
      </c>
    </row>
    <row r="65" spans="1:9" x14ac:dyDescent="0.3">
      <c r="A65" s="2" t="s">
        <v>0</v>
      </c>
      <c r="B65" s="2" t="s">
        <v>0</v>
      </c>
      <c r="C65" s="2" t="s">
        <v>0</v>
      </c>
      <c r="D65" s="2" t="s">
        <v>0</v>
      </c>
      <c r="E65" s="2" t="s">
        <v>0</v>
      </c>
      <c r="F65" s="2" t="s">
        <v>0</v>
      </c>
      <c r="G65" s="2" t="s">
        <v>0</v>
      </c>
      <c r="H65" s="2" t="s">
        <v>0</v>
      </c>
      <c r="I65" s="2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A6E66-7152-4EB3-8E1F-587B6EE6186D}">
  <sheetPr codeName="Sheet2"/>
  <dimension ref="A1:AD65"/>
  <sheetViews>
    <sheetView topLeftCell="J1" workbookViewId="0">
      <selection activeCell="S8" sqref="S8:S17"/>
    </sheetView>
  </sheetViews>
  <sheetFormatPr defaultColWidth="8.77734375" defaultRowHeight="14.4" x14ac:dyDescent="0.3"/>
  <sheetData>
    <row r="1" spans="1:30" x14ac:dyDescent="0.3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M1" s="8" t="s">
        <v>45</v>
      </c>
      <c r="N1" s="3" t="s">
        <v>44</v>
      </c>
      <c r="O1" s="3" t="s">
        <v>3</v>
      </c>
      <c r="P1" s="3" t="s">
        <v>43</v>
      </c>
      <c r="Q1" s="3" t="s">
        <v>42</v>
      </c>
      <c r="S1" s="3" t="s">
        <v>13</v>
      </c>
      <c r="T1" s="3" t="s">
        <v>37</v>
      </c>
      <c r="U1" s="5">
        <v>8.9499999999999993</v>
      </c>
      <c r="V1" s="5">
        <v>11.95</v>
      </c>
      <c r="W1" s="6" t="s">
        <v>38</v>
      </c>
      <c r="X1" s="3" t="s">
        <v>4</v>
      </c>
      <c r="Y1" s="3" t="s">
        <v>5</v>
      </c>
      <c r="Z1" s="3" t="s">
        <v>6</v>
      </c>
      <c r="AA1" s="6" t="s">
        <v>36</v>
      </c>
      <c r="AB1" s="3" t="s">
        <v>7</v>
      </c>
      <c r="AC1" s="3" t="s">
        <v>41</v>
      </c>
      <c r="AD1" s="3" t="s">
        <v>9</v>
      </c>
    </row>
    <row r="2" spans="1:30" x14ac:dyDescent="0.3">
      <c r="A2">
        <v>6</v>
      </c>
      <c r="B2">
        <v>6</v>
      </c>
      <c r="C2">
        <v>6</v>
      </c>
      <c r="D2">
        <v>5</v>
      </c>
      <c r="E2">
        <v>6</v>
      </c>
      <c r="F2">
        <v>6</v>
      </c>
      <c r="G2">
        <v>6</v>
      </c>
      <c r="H2">
        <v>7</v>
      </c>
      <c r="I2">
        <v>5</v>
      </c>
      <c r="M2" s="3">
        <v>1</v>
      </c>
      <c r="N2" s="6" t="s">
        <v>13</v>
      </c>
      <c r="O2" s="7">
        <v>8.9499999999999993</v>
      </c>
      <c r="P2" s="6" t="s">
        <v>38</v>
      </c>
      <c r="Q2" s="6" t="s">
        <v>36</v>
      </c>
    </row>
    <row r="3" spans="1:30" x14ac:dyDescent="0.3">
      <c r="A3">
        <v>7</v>
      </c>
      <c r="B3">
        <v>7</v>
      </c>
      <c r="C3">
        <v>5</v>
      </c>
      <c r="D3">
        <v>6</v>
      </c>
      <c r="E3">
        <v>5</v>
      </c>
      <c r="F3">
        <v>4</v>
      </c>
      <c r="G3">
        <v>5</v>
      </c>
      <c r="H3">
        <v>6</v>
      </c>
      <c r="I3">
        <v>7</v>
      </c>
      <c r="M3" s="3">
        <v>2</v>
      </c>
      <c r="N3" s="3" t="s">
        <v>37</v>
      </c>
      <c r="O3" s="5">
        <v>11.95</v>
      </c>
      <c r="P3" s="3" t="s">
        <v>4</v>
      </c>
      <c r="Q3" s="3" t="s">
        <v>7</v>
      </c>
    </row>
    <row r="4" spans="1:30" x14ac:dyDescent="0.3">
      <c r="A4">
        <v>1</v>
      </c>
      <c r="B4">
        <v>7</v>
      </c>
      <c r="C4">
        <v>5</v>
      </c>
      <c r="D4">
        <v>7</v>
      </c>
      <c r="E4">
        <v>3</v>
      </c>
      <c r="F4">
        <v>4</v>
      </c>
      <c r="G4">
        <v>1</v>
      </c>
      <c r="H4">
        <v>7</v>
      </c>
      <c r="I4">
        <v>4</v>
      </c>
      <c r="M4" s="3">
        <v>3</v>
      </c>
      <c r="N4" s="3"/>
      <c r="O4" s="3"/>
      <c r="P4" s="3" t="s">
        <v>5</v>
      </c>
      <c r="Q4" s="3" t="s">
        <v>41</v>
      </c>
    </row>
    <row r="5" spans="1:30" x14ac:dyDescent="0.3">
      <c r="A5" s="16">
        <v>7</v>
      </c>
      <c r="B5" s="16">
        <v>7</v>
      </c>
      <c r="C5" s="16">
        <v>7</v>
      </c>
      <c r="D5" s="16">
        <v>7</v>
      </c>
      <c r="E5" s="16">
        <v>7</v>
      </c>
      <c r="F5" s="16">
        <v>7</v>
      </c>
      <c r="G5" s="16">
        <v>7</v>
      </c>
      <c r="H5" s="16">
        <v>7</v>
      </c>
      <c r="I5" s="16">
        <v>7</v>
      </c>
      <c r="M5" s="3">
        <v>4</v>
      </c>
      <c r="N5" s="3"/>
      <c r="O5" s="3"/>
      <c r="P5" s="3" t="s">
        <v>6</v>
      </c>
      <c r="Q5" s="3" t="s">
        <v>9</v>
      </c>
    </row>
    <row r="6" spans="1:30" x14ac:dyDescent="0.3">
      <c r="A6" s="16">
        <v>4</v>
      </c>
      <c r="B6" s="16">
        <v>4</v>
      </c>
      <c r="C6" s="16">
        <v>4</v>
      </c>
      <c r="D6" s="16">
        <v>4</v>
      </c>
      <c r="E6" s="16">
        <v>4</v>
      </c>
      <c r="F6" s="16">
        <v>4</v>
      </c>
      <c r="G6" s="16">
        <v>4</v>
      </c>
      <c r="H6" s="16">
        <v>4</v>
      </c>
      <c r="I6" s="16">
        <v>4</v>
      </c>
    </row>
    <row r="7" spans="1:30" x14ac:dyDescent="0.3">
      <c r="A7">
        <v>2</v>
      </c>
      <c r="B7">
        <v>4</v>
      </c>
      <c r="C7">
        <v>1</v>
      </c>
      <c r="D7">
        <v>3</v>
      </c>
      <c r="E7">
        <v>6</v>
      </c>
      <c r="F7">
        <v>3</v>
      </c>
      <c r="G7">
        <v>5</v>
      </c>
      <c r="H7">
        <v>3</v>
      </c>
      <c r="I7">
        <v>5</v>
      </c>
    </row>
    <row r="8" spans="1:30" x14ac:dyDescent="0.3">
      <c r="A8">
        <v>3</v>
      </c>
      <c r="B8">
        <v>2</v>
      </c>
      <c r="C8">
        <v>4</v>
      </c>
      <c r="D8">
        <v>4</v>
      </c>
      <c r="E8">
        <v>3</v>
      </c>
      <c r="F8">
        <v>6</v>
      </c>
      <c r="G8">
        <v>5</v>
      </c>
      <c r="H8">
        <v>6</v>
      </c>
      <c r="I8">
        <v>4</v>
      </c>
      <c r="M8" t="s">
        <v>11</v>
      </c>
      <c r="N8" t="s">
        <v>2</v>
      </c>
      <c r="O8" t="s">
        <v>3</v>
      </c>
      <c r="P8" t="s">
        <v>40</v>
      </c>
      <c r="Q8" t="s">
        <v>39</v>
      </c>
      <c r="S8" s="3" t="s">
        <v>11</v>
      </c>
      <c r="T8" s="3" t="s">
        <v>2</v>
      </c>
      <c r="U8" s="3" t="s">
        <v>3</v>
      </c>
      <c r="V8" s="3" t="s">
        <v>4</v>
      </c>
      <c r="W8" s="3" t="s">
        <v>5</v>
      </c>
      <c r="X8" s="3" t="s">
        <v>6</v>
      </c>
      <c r="Y8" s="3" t="s">
        <v>7</v>
      </c>
      <c r="Z8" s="3" t="s">
        <v>8</v>
      </c>
      <c r="AA8" s="3" t="s">
        <v>9</v>
      </c>
    </row>
    <row r="9" spans="1:30" x14ac:dyDescent="0.3">
      <c r="A9">
        <v>6</v>
      </c>
      <c r="B9">
        <v>7</v>
      </c>
      <c r="C9">
        <v>6</v>
      </c>
      <c r="D9">
        <v>7</v>
      </c>
      <c r="E9">
        <v>5</v>
      </c>
      <c r="F9">
        <v>6</v>
      </c>
      <c r="G9">
        <v>5</v>
      </c>
      <c r="H9">
        <v>7</v>
      </c>
      <c r="I9">
        <v>6</v>
      </c>
      <c r="M9">
        <v>1</v>
      </c>
      <c r="N9" t="s">
        <v>13</v>
      </c>
      <c r="O9">
        <v>8.9499999999999993</v>
      </c>
      <c r="P9" t="s">
        <v>38</v>
      </c>
      <c r="Q9" t="s">
        <v>36</v>
      </c>
      <c r="S9" s="3">
        <v>1</v>
      </c>
      <c r="T9" s="3">
        <f t="shared" ref="T9:T17" si="0">IF(N9=$N$3,1,0)</f>
        <v>0</v>
      </c>
      <c r="U9" s="3">
        <f t="shared" ref="U9:U17" si="1">IF(O9=8.95,1,0)</f>
        <v>1</v>
      </c>
      <c r="V9" s="3">
        <f t="shared" ref="V9:V17" si="2">IF(P9=$V$8,1,0)</f>
        <v>0</v>
      </c>
      <c r="W9" s="3">
        <f t="shared" ref="W9:W17" si="3">IF(P9=$W$8,1,0)</f>
        <v>0</v>
      </c>
      <c r="X9" s="3">
        <f t="shared" ref="X9:X17" si="4">IF(P9=$X$8,1,0)</f>
        <v>0</v>
      </c>
      <c r="Y9" s="3">
        <f t="shared" ref="Y9:Y17" si="5">IF(Q9=$Y$8,1,0)</f>
        <v>0</v>
      </c>
      <c r="Z9" s="3">
        <f t="shared" ref="Z9:Z17" si="6">IF(Q9=$Z$8,1,0)</f>
        <v>0</v>
      </c>
      <c r="AA9" s="3">
        <f t="shared" ref="AA9:AA17" si="7">IF(Q9=$AA$8,1,0)</f>
        <v>0</v>
      </c>
    </row>
    <row r="10" spans="1:30" x14ac:dyDescent="0.3">
      <c r="A10">
        <v>5</v>
      </c>
      <c r="B10">
        <v>5</v>
      </c>
      <c r="C10">
        <v>6</v>
      </c>
      <c r="D10">
        <v>2</v>
      </c>
      <c r="E10">
        <v>6</v>
      </c>
      <c r="F10">
        <v>6</v>
      </c>
      <c r="G10">
        <v>2</v>
      </c>
      <c r="H10">
        <v>3</v>
      </c>
      <c r="I10">
        <v>2</v>
      </c>
      <c r="M10">
        <v>2</v>
      </c>
      <c r="N10" t="s">
        <v>13</v>
      </c>
      <c r="O10">
        <v>8.9499999999999993</v>
      </c>
      <c r="P10" t="s">
        <v>4</v>
      </c>
      <c r="Q10" t="s">
        <v>7</v>
      </c>
      <c r="S10" s="3">
        <v>2</v>
      </c>
      <c r="T10" s="3">
        <f t="shared" si="0"/>
        <v>0</v>
      </c>
      <c r="U10" s="3">
        <f t="shared" si="1"/>
        <v>1</v>
      </c>
      <c r="V10" s="3">
        <f t="shared" si="2"/>
        <v>1</v>
      </c>
      <c r="W10" s="3">
        <f t="shared" si="3"/>
        <v>0</v>
      </c>
      <c r="X10" s="3">
        <f t="shared" si="4"/>
        <v>0</v>
      </c>
      <c r="Y10" s="3">
        <f t="shared" si="5"/>
        <v>1</v>
      </c>
      <c r="Z10" s="3">
        <f t="shared" si="6"/>
        <v>0</v>
      </c>
      <c r="AA10" s="3">
        <f t="shared" si="7"/>
        <v>0</v>
      </c>
    </row>
    <row r="11" spans="1:30" x14ac:dyDescent="0.3">
      <c r="A11">
        <v>6</v>
      </c>
      <c r="B11">
        <v>4</v>
      </c>
      <c r="C11">
        <v>4</v>
      </c>
      <c r="D11">
        <v>4</v>
      </c>
      <c r="E11">
        <v>5</v>
      </c>
      <c r="F11">
        <v>6</v>
      </c>
      <c r="G11">
        <v>4</v>
      </c>
      <c r="H11">
        <v>6</v>
      </c>
      <c r="I11">
        <v>5</v>
      </c>
      <c r="M11">
        <v>3</v>
      </c>
      <c r="N11" t="s">
        <v>13</v>
      </c>
      <c r="O11">
        <v>8.9499999999999993</v>
      </c>
      <c r="P11" t="s">
        <v>5</v>
      </c>
      <c r="Q11" t="s">
        <v>8</v>
      </c>
      <c r="S11" s="3">
        <v>3</v>
      </c>
      <c r="T11" s="3">
        <f t="shared" si="0"/>
        <v>0</v>
      </c>
      <c r="U11" s="3">
        <f t="shared" si="1"/>
        <v>1</v>
      </c>
      <c r="V11" s="3">
        <f t="shared" si="2"/>
        <v>0</v>
      </c>
      <c r="W11" s="3">
        <f t="shared" si="3"/>
        <v>1</v>
      </c>
      <c r="X11" s="3">
        <f t="shared" si="4"/>
        <v>0</v>
      </c>
      <c r="Y11" s="3">
        <f t="shared" si="5"/>
        <v>0</v>
      </c>
      <c r="Z11" s="3">
        <f t="shared" si="6"/>
        <v>1</v>
      </c>
      <c r="AA11" s="3">
        <f t="shared" si="7"/>
        <v>0</v>
      </c>
    </row>
    <row r="12" spans="1:30" x14ac:dyDescent="0.3">
      <c r="A12">
        <v>3</v>
      </c>
      <c r="B12">
        <v>3</v>
      </c>
      <c r="C12">
        <v>4</v>
      </c>
      <c r="D12">
        <v>4</v>
      </c>
      <c r="E12">
        <v>4</v>
      </c>
      <c r="F12">
        <v>4</v>
      </c>
      <c r="G12">
        <v>4</v>
      </c>
      <c r="H12">
        <v>4</v>
      </c>
      <c r="I12">
        <v>4</v>
      </c>
      <c r="M12">
        <v>4</v>
      </c>
      <c r="N12" t="s">
        <v>13</v>
      </c>
      <c r="O12">
        <v>8.9499999999999993</v>
      </c>
      <c r="P12" t="s">
        <v>6</v>
      </c>
      <c r="Q12" t="s">
        <v>9</v>
      </c>
      <c r="S12" s="3">
        <v>4</v>
      </c>
      <c r="T12" s="3">
        <f t="shared" si="0"/>
        <v>0</v>
      </c>
      <c r="U12" s="3">
        <f t="shared" si="1"/>
        <v>1</v>
      </c>
      <c r="V12" s="3">
        <f t="shared" si="2"/>
        <v>0</v>
      </c>
      <c r="W12" s="3">
        <f t="shared" si="3"/>
        <v>0</v>
      </c>
      <c r="X12" s="3">
        <f t="shared" si="4"/>
        <v>1</v>
      </c>
      <c r="Y12" s="3">
        <f t="shared" si="5"/>
        <v>0</v>
      </c>
      <c r="Z12" s="3">
        <f t="shared" si="6"/>
        <v>0</v>
      </c>
      <c r="AA12" s="3">
        <f t="shared" si="7"/>
        <v>1</v>
      </c>
    </row>
    <row r="13" spans="1:30" x14ac:dyDescent="0.3">
      <c r="A13">
        <v>7</v>
      </c>
      <c r="B13">
        <v>7</v>
      </c>
      <c r="C13">
        <v>3</v>
      </c>
      <c r="D13">
        <v>7</v>
      </c>
      <c r="E13">
        <v>7</v>
      </c>
      <c r="F13">
        <v>2</v>
      </c>
      <c r="G13">
        <v>7</v>
      </c>
      <c r="H13">
        <v>7</v>
      </c>
      <c r="I13">
        <v>7</v>
      </c>
      <c r="M13">
        <v>5</v>
      </c>
      <c r="N13" t="s">
        <v>13</v>
      </c>
      <c r="O13">
        <v>11.95</v>
      </c>
      <c r="P13" t="s">
        <v>38</v>
      </c>
      <c r="Q13" t="s">
        <v>9</v>
      </c>
      <c r="S13" s="3">
        <v>5</v>
      </c>
      <c r="T13" s="3">
        <f t="shared" si="0"/>
        <v>0</v>
      </c>
      <c r="U13" s="3">
        <f t="shared" si="1"/>
        <v>0</v>
      </c>
      <c r="V13" s="3">
        <f t="shared" si="2"/>
        <v>0</v>
      </c>
      <c r="W13" s="3">
        <f t="shared" si="3"/>
        <v>0</v>
      </c>
      <c r="X13" s="3">
        <f t="shared" si="4"/>
        <v>0</v>
      </c>
      <c r="Y13" s="3">
        <f t="shared" si="5"/>
        <v>0</v>
      </c>
      <c r="Z13" s="3">
        <f t="shared" si="6"/>
        <v>0</v>
      </c>
      <c r="AA13" s="3">
        <f t="shared" si="7"/>
        <v>1</v>
      </c>
    </row>
    <row r="14" spans="1:30" x14ac:dyDescent="0.3">
      <c r="A14" s="16">
        <v>7</v>
      </c>
      <c r="B14" s="16">
        <v>7</v>
      </c>
      <c r="C14" s="16">
        <v>7</v>
      </c>
      <c r="D14" s="16">
        <v>7</v>
      </c>
      <c r="E14" s="16">
        <v>7</v>
      </c>
      <c r="F14" s="16">
        <v>7</v>
      </c>
      <c r="G14" s="16">
        <v>7</v>
      </c>
      <c r="H14" s="16">
        <v>7</v>
      </c>
      <c r="I14" s="16">
        <v>7</v>
      </c>
      <c r="M14">
        <v>6</v>
      </c>
      <c r="N14" t="s">
        <v>37</v>
      </c>
      <c r="O14">
        <v>11.95</v>
      </c>
      <c r="P14" t="s">
        <v>5</v>
      </c>
      <c r="Q14" t="s">
        <v>9</v>
      </c>
      <c r="S14" s="3">
        <v>6</v>
      </c>
      <c r="T14" s="3">
        <f t="shared" si="0"/>
        <v>1</v>
      </c>
      <c r="U14" s="3">
        <f t="shared" si="1"/>
        <v>0</v>
      </c>
      <c r="V14" s="3">
        <f t="shared" si="2"/>
        <v>0</v>
      </c>
      <c r="W14" s="3">
        <f t="shared" si="3"/>
        <v>1</v>
      </c>
      <c r="X14" s="3">
        <f t="shared" si="4"/>
        <v>0</v>
      </c>
      <c r="Y14" s="3">
        <f t="shared" si="5"/>
        <v>0</v>
      </c>
      <c r="Z14" s="3">
        <f t="shared" si="6"/>
        <v>0</v>
      </c>
      <c r="AA14" s="3">
        <f t="shared" si="7"/>
        <v>1</v>
      </c>
    </row>
    <row r="15" spans="1:30" x14ac:dyDescent="0.3">
      <c r="A15">
        <v>1</v>
      </c>
      <c r="B15">
        <v>1</v>
      </c>
      <c r="C15">
        <v>7</v>
      </c>
      <c r="D15">
        <v>7</v>
      </c>
      <c r="E15">
        <v>7</v>
      </c>
      <c r="F15">
        <v>7</v>
      </c>
      <c r="G15">
        <v>7</v>
      </c>
      <c r="H15">
        <v>7</v>
      </c>
      <c r="I15">
        <v>7</v>
      </c>
      <c r="M15">
        <v>7</v>
      </c>
      <c r="N15" t="s">
        <v>37</v>
      </c>
      <c r="O15">
        <v>11.95</v>
      </c>
      <c r="P15" t="s">
        <v>38</v>
      </c>
      <c r="Q15" t="s">
        <v>7</v>
      </c>
      <c r="S15" s="3">
        <v>7</v>
      </c>
      <c r="T15" s="3">
        <f t="shared" si="0"/>
        <v>1</v>
      </c>
      <c r="U15" s="3">
        <f t="shared" si="1"/>
        <v>0</v>
      </c>
      <c r="V15" s="3">
        <f t="shared" si="2"/>
        <v>0</v>
      </c>
      <c r="W15" s="3">
        <f t="shared" si="3"/>
        <v>0</v>
      </c>
      <c r="X15" s="3">
        <f t="shared" si="4"/>
        <v>0</v>
      </c>
      <c r="Y15" s="3">
        <f t="shared" si="5"/>
        <v>1</v>
      </c>
      <c r="Z15" s="3">
        <f t="shared" si="6"/>
        <v>0</v>
      </c>
      <c r="AA15" s="3">
        <f t="shared" si="7"/>
        <v>0</v>
      </c>
    </row>
    <row r="16" spans="1:30" x14ac:dyDescent="0.3">
      <c r="A16">
        <v>5</v>
      </c>
      <c r="B16">
        <v>6</v>
      </c>
      <c r="C16">
        <v>6</v>
      </c>
      <c r="D16">
        <v>7</v>
      </c>
      <c r="E16">
        <v>5</v>
      </c>
      <c r="F16">
        <v>5</v>
      </c>
      <c r="G16">
        <v>5</v>
      </c>
      <c r="H16">
        <v>7</v>
      </c>
      <c r="I16">
        <v>6</v>
      </c>
      <c r="M16">
        <v>8</v>
      </c>
      <c r="N16" t="s">
        <v>37</v>
      </c>
      <c r="O16">
        <v>11.95</v>
      </c>
      <c r="P16" t="s">
        <v>6</v>
      </c>
      <c r="Q16" t="s">
        <v>8</v>
      </c>
      <c r="S16" s="3">
        <v>8</v>
      </c>
      <c r="T16" s="3">
        <f t="shared" si="0"/>
        <v>1</v>
      </c>
      <c r="U16" s="3">
        <f t="shared" si="1"/>
        <v>0</v>
      </c>
      <c r="V16" s="3">
        <f t="shared" si="2"/>
        <v>0</v>
      </c>
      <c r="W16" s="3">
        <f t="shared" si="3"/>
        <v>0</v>
      </c>
      <c r="X16" s="3">
        <f t="shared" si="4"/>
        <v>1</v>
      </c>
      <c r="Y16" s="3">
        <f t="shared" si="5"/>
        <v>0</v>
      </c>
      <c r="Z16" s="3">
        <f t="shared" si="6"/>
        <v>1</v>
      </c>
      <c r="AA16" s="3">
        <f t="shared" si="7"/>
        <v>0</v>
      </c>
    </row>
    <row r="17" spans="1:27" x14ac:dyDescent="0.3">
      <c r="A17">
        <v>1</v>
      </c>
      <c r="B17">
        <v>5</v>
      </c>
      <c r="C17">
        <v>5</v>
      </c>
      <c r="D17">
        <v>6</v>
      </c>
      <c r="E17">
        <v>4</v>
      </c>
      <c r="F17">
        <v>5</v>
      </c>
      <c r="G17">
        <v>3</v>
      </c>
      <c r="H17">
        <v>6</v>
      </c>
      <c r="I17">
        <v>7</v>
      </c>
      <c r="M17">
        <v>9</v>
      </c>
      <c r="N17" t="s">
        <v>37</v>
      </c>
      <c r="O17">
        <v>11.95</v>
      </c>
      <c r="P17" t="s">
        <v>4</v>
      </c>
      <c r="Q17" t="s">
        <v>36</v>
      </c>
      <c r="S17" s="3">
        <v>9</v>
      </c>
      <c r="T17" s="3">
        <f t="shared" si="0"/>
        <v>1</v>
      </c>
      <c r="U17" s="3">
        <f t="shared" si="1"/>
        <v>0</v>
      </c>
      <c r="V17" s="3">
        <f t="shared" si="2"/>
        <v>1</v>
      </c>
      <c r="W17" s="3">
        <f t="shared" si="3"/>
        <v>0</v>
      </c>
      <c r="X17" s="3">
        <f t="shared" si="4"/>
        <v>0</v>
      </c>
      <c r="Y17" s="3">
        <f t="shared" si="5"/>
        <v>0</v>
      </c>
      <c r="Z17" s="3">
        <f t="shared" si="6"/>
        <v>0</v>
      </c>
      <c r="AA17" s="3">
        <f t="shared" si="7"/>
        <v>0</v>
      </c>
    </row>
    <row r="18" spans="1:27" x14ac:dyDescent="0.3">
      <c r="A18">
        <v>3</v>
      </c>
      <c r="B18">
        <v>2</v>
      </c>
      <c r="C18">
        <v>3</v>
      </c>
      <c r="D18">
        <v>6</v>
      </c>
      <c r="E18">
        <v>5</v>
      </c>
      <c r="F18">
        <v>5</v>
      </c>
      <c r="G18">
        <v>4</v>
      </c>
      <c r="H18">
        <v>7</v>
      </c>
      <c r="I18">
        <v>7</v>
      </c>
    </row>
    <row r="19" spans="1:27" x14ac:dyDescent="0.3">
      <c r="A19">
        <v>6</v>
      </c>
      <c r="B19">
        <v>6</v>
      </c>
      <c r="C19">
        <v>7</v>
      </c>
      <c r="D19">
        <v>7</v>
      </c>
      <c r="E19">
        <v>6</v>
      </c>
      <c r="F19">
        <v>4</v>
      </c>
      <c r="G19">
        <v>5</v>
      </c>
      <c r="H19">
        <v>7</v>
      </c>
      <c r="I19">
        <v>5</v>
      </c>
    </row>
    <row r="20" spans="1:27" x14ac:dyDescent="0.3">
      <c r="A20">
        <v>6</v>
      </c>
      <c r="B20">
        <v>7</v>
      </c>
      <c r="C20">
        <v>5</v>
      </c>
      <c r="D20">
        <v>6</v>
      </c>
      <c r="E20">
        <v>6</v>
      </c>
      <c r="F20">
        <v>5</v>
      </c>
      <c r="G20">
        <v>5</v>
      </c>
      <c r="H20">
        <v>7</v>
      </c>
      <c r="I20">
        <v>7</v>
      </c>
    </row>
    <row r="21" spans="1:27" x14ac:dyDescent="0.3">
      <c r="A21">
        <v>7</v>
      </c>
      <c r="B21">
        <v>7</v>
      </c>
      <c r="C21">
        <v>4</v>
      </c>
      <c r="D21">
        <v>6</v>
      </c>
      <c r="E21">
        <v>3</v>
      </c>
      <c r="F21">
        <v>5</v>
      </c>
      <c r="G21">
        <v>3</v>
      </c>
      <c r="H21">
        <v>5</v>
      </c>
      <c r="I21">
        <v>5</v>
      </c>
    </row>
    <row r="22" spans="1:27" x14ac:dyDescent="0.3">
      <c r="A22">
        <v>5</v>
      </c>
      <c r="B22">
        <v>6</v>
      </c>
      <c r="C22">
        <v>5</v>
      </c>
      <c r="D22">
        <v>5</v>
      </c>
      <c r="E22">
        <v>5</v>
      </c>
      <c r="F22">
        <v>3</v>
      </c>
      <c r="G22">
        <v>3</v>
      </c>
      <c r="H22">
        <v>5</v>
      </c>
      <c r="I22">
        <v>7</v>
      </c>
    </row>
    <row r="23" spans="1:27" x14ac:dyDescent="0.3">
      <c r="A23">
        <v>4</v>
      </c>
      <c r="B23">
        <v>5</v>
      </c>
      <c r="C23">
        <v>6</v>
      </c>
      <c r="D23">
        <v>5</v>
      </c>
      <c r="E23">
        <v>5</v>
      </c>
      <c r="F23">
        <v>5</v>
      </c>
      <c r="G23">
        <v>5</v>
      </c>
      <c r="H23">
        <v>5</v>
      </c>
      <c r="I23">
        <v>6</v>
      </c>
    </row>
    <row r="24" spans="1:27" x14ac:dyDescent="0.3">
      <c r="A24">
        <v>2</v>
      </c>
      <c r="B24">
        <v>2</v>
      </c>
      <c r="C24">
        <v>3</v>
      </c>
      <c r="D24">
        <v>6</v>
      </c>
      <c r="E24">
        <v>6</v>
      </c>
      <c r="F24">
        <v>1</v>
      </c>
      <c r="G24">
        <v>5</v>
      </c>
      <c r="H24">
        <v>5</v>
      </c>
      <c r="I24">
        <v>6</v>
      </c>
    </row>
    <row r="25" spans="1:27" x14ac:dyDescent="0.3">
      <c r="A25">
        <v>6</v>
      </c>
      <c r="B25">
        <v>7</v>
      </c>
      <c r="C25">
        <v>6</v>
      </c>
      <c r="D25">
        <v>6</v>
      </c>
      <c r="E25">
        <v>5</v>
      </c>
      <c r="F25">
        <v>6</v>
      </c>
      <c r="G25">
        <v>5</v>
      </c>
      <c r="H25">
        <v>7</v>
      </c>
      <c r="I25">
        <v>6</v>
      </c>
    </row>
    <row r="26" spans="1:27" x14ac:dyDescent="0.3">
      <c r="A26">
        <v>1</v>
      </c>
      <c r="B26">
        <v>5</v>
      </c>
      <c r="C26">
        <v>1</v>
      </c>
      <c r="D26">
        <v>7</v>
      </c>
      <c r="E26">
        <v>1</v>
      </c>
      <c r="F26">
        <v>1</v>
      </c>
      <c r="G26">
        <v>1</v>
      </c>
      <c r="H26">
        <v>7</v>
      </c>
      <c r="I26">
        <v>5</v>
      </c>
    </row>
    <row r="27" spans="1:27" x14ac:dyDescent="0.3">
      <c r="A27">
        <v>5</v>
      </c>
      <c r="B27">
        <v>6</v>
      </c>
      <c r="C27">
        <v>6</v>
      </c>
      <c r="D27">
        <v>1</v>
      </c>
      <c r="E27">
        <v>7</v>
      </c>
      <c r="F27">
        <v>7</v>
      </c>
      <c r="G27">
        <v>5</v>
      </c>
      <c r="H27">
        <v>6</v>
      </c>
      <c r="I27">
        <v>5</v>
      </c>
    </row>
    <row r="28" spans="1:27" x14ac:dyDescent="0.3">
      <c r="A28">
        <v>6</v>
      </c>
      <c r="B28">
        <v>6</v>
      </c>
      <c r="C28">
        <v>6</v>
      </c>
      <c r="D28">
        <v>6</v>
      </c>
      <c r="E28">
        <v>6</v>
      </c>
      <c r="F28">
        <v>6</v>
      </c>
      <c r="G28">
        <v>6</v>
      </c>
      <c r="H28">
        <v>5</v>
      </c>
      <c r="I28">
        <v>5</v>
      </c>
    </row>
    <row r="29" spans="1:27" x14ac:dyDescent="0.3">
      <c r="A29">
        <v>5</v>
      </c>
      <c r="B29">
        <v>4</v>
      </c>
      <c r="C29">
        <v>6</v>
      </c>
      <c r="D29">
        <v>7</v>
      </c>
      <c r="E29">
        <v>7</v>
      </c>
      <c r="F29">
        <v>7</v>
      </c>
      <c r="G29">
        <v>5</v>
      </c>
      <c r="H29">
        <v>4</v>
      </c>
      <c r="I29">
        <v>3</v>
      </c>
    </row>
    <row r="30" spans="1:27" x14ac:dyDescent="0.3">
      <c r="A30">
        <v>4</v>
      </c>
      <c r="B30">
        <v>4</v>
      </c>
      <c r="C30">
        <v>4</v>
      </c>
      <c r="D30">
        <v>4</v>
      </c>
      <c r="E30">
        <v>4</v>
      </c>
      <c r="F30">
        <v>4</v>
      </c>
      <c r="G30">
        <v>4</v>
      </c>
      <c r="H30">
        <v>4</v>
      </c>
      <c r="I30">
        <v>4</v>
      </c>
    </row>
    <row r="31" spans="1:27" x14ac:dyDescent="0.3">
      <c r="A31">
        <v>5</v>
      </c>
      <c r="B31">
        <v>5</v>
      </c>
      <c r="C31">
        <v>5</v>
      </c>
      <c r="D31">
        <v>5</v>
      </c>
      <c r="E31">
        <v>5</v>
      </c>
      <c r="F31">
        <v>5</v>
      </c>
      <c r="G31">
        <v>5</v>
      </c>
      <c r="H31">
        <v>7</v>
      </c>
      <c r="I31">
        <v>4</v>
      </c>
    </row>
    <row r="32" spans="1:27" x14ac:dyDescent="0.3">
      <c r="A32">
        <v>4</v>
      </c>
      <c r="B32">
        <v>4</v>
      </c>
      <c r="C32">
        <v>4</v>
      </c>
      <c r="D32">
        <v>4</v>
      </c>
      <c r="E32">
        <v>6</v>
      </c>
      <c r="F32">
        <v>7</v>
      </c>
      <c r="G32">
        <v>7</v>
      </c>
      <c r="H32">
        <v>7</v>
      </c>
      <c r="I32">
        <v>7</v>
      </c>
    </row>
    <row r="33" spans="1:9" x14ac:dyDescent="0.3">
      <c r="A33">
        <v>6</v>
      </c>
      <c r="B33">
        <v>7</v>
      </c>
      <c r="C33">
        <v>6</v>
      </c>
      <c r="D33">
        <v>6</v>
      </c>
      <c r="E33">
        <v>5</v>
      </c>
      <c r="F33">
        <v>5</v>
      </c>
      <c r="G33">
        <v>5</v>
      </c>
      <c r="H33">
        <v>7</v>
      </c>
      <c r="I33">
        <v>7</v>
      </c>
    </row>
    <row r="34" spans="1:9" x14ac:dyDescent="0.3">
      <c r="A34">
        <v>5</v>
      </c>
      <c r="B34">
        <v>6</v>
      </c>
      <c r="C34">
        <v>7</v>
      </c>
      <c r="D34">
        <v>6</v>
      </c>
      <c r="E34">
        <v>5</v>
      </c>
      <c r="F34">
        <v>6</v>
      </c>
      <c r="G34">
        <v>3</v>
      </c>
      <c r="H34">
        <v>7</v>
      </c>
      <c r="I34">
        <v>7</v>
      </c>
    </row>
    <row r="35" spans="1:9" x14ac:dyDescent="0.3">
      <c r="A35">
        <v>3</v>
      </c>
      <c r="B35">
        <v>3</v>
      </c>
      <c r="C35">
        <v>3</v>
      </c>
      <c r="D35">
        <v>4</v>
      </c>
      <c r="E35">
        <v>4</v>
      </c>
      <c r="F35">
        <v>4</v>
      </c>
      <c r="G35">
        <v>4</v>
      </c>
      <c r="H35">
        <v>4</v>
      </c>
      <c r="I35">
        <v>4</v>
      </c>
    </row>
    <row r="36" spans="1:9" x14ac:dyDescent="0.3">
      <c r="A36">
        <v>3</v>
      </c>
      <c r="B36">
        <v>3</v>
      </c>
      <c r="C36">
        <v>5</v>
      </c>
      <c r="D36">
        <v>5</v>
      </c>
      <c r="E36">
        <v>6</v>
      </c>
      <c r="F36">
        <v>7</v>
      </c>
      <c r="G36">
        <v>6</v>
      </c>
      <c r="H36">
        <v>6</v>
      </c>
      <c r="I36">
        <v>5</v>
      </c>
    </row>
    <row r="37" spans="1:9" x14ac:dyDescent="0.3">
      <c r="A37">
        <v>1</v>
      </c>
      <c r="B37">
        <v>5</v>
      </c>
      <c r="C37">
        <v>2</v>
      </c>
      <c r="D37">
        <v>7</v>
      </c>
      <c r="E37">
        <v>1</v>
      </c>
      <c r="F37">
        <v>2</v>
      </c>
      <c r="G37">
        <v>1</v>
      </c>
      <c r="H37">
        <v>6</v>
      </c>
      <c r="I37">
        <v>5</v>
      </c>
    </row>
    <row r="38" spans="1:9" x14ac:dyDescent="0.3">
      <c r="A38">
        <v>7</v>
      </c>
      <c r="B38">
        <v>7</v>
      </c>
      <c r="C38">
        <v>7</v>
      </c>
      <c r="D38">
        <v>7</v>
      </c>
      <c r="E38">
        <v>6</v>
      </c>
      <c r="F38">
        <v>6</v>
      </c>
      <c r="G38">
        <v>6</v>
      </c>
      <c r="H38">
        <v>6</v>
      </c>
      <c r="I38">
        <v>6</v>
      </c>
    </row>
    <row r="39" spans="1:9" x14ac:dyDescent="0.3">
      <c r="A39">
        <v>4</v>
      </c>
      <c r="B39">
        <v>4</v>
      </c>
      <c r="C39">
        <v>5</v>
      </c>
      <c r="D39">
        <v>4</v>
      </c>
      <c r="E39">
        <v>4</v>
      </c>
      <c r="F39">
        <v>5</v>
      </c>
      <c r="G39">
        <v>4</v>
      </c>
      <c r="H39">
        <v>4</v>
      </c>
      <c r="I39">
        <v>4</v>
      </c>
    </row>
    <row r="40" spans="1:9" x14ac:dyDescent="0.3">
      <c r="A40">
        <v>5</v>
      </c>
      <c r="B40">
        <v>5</v>
      </c>
      <c r="C40">
        <v>6</v>
      </c>
      <c r="D40">
        <v>7</v>
      </c>
      <c r="E40">
        <v>5</v>
      </c>
      <c r="F40">
        <v>4</v>
      </c>
      <c r="G40">
        <v>5</v>
      </c>
      <c r="H40">
        <v>6</v>
      </c>
      <c r="I40">
        <v>6</v>
      </c>
    </row>
    <row r="41" spans="1:9" x14ac:dyDescent="0.3">
      <c r="A41">
        <v>1</v>
      </c>
      <c r="B41">
        <v>1</v>
      </c>
      <c r="C41">
        <v>1</v>
      </c>
      <c r="D41">
        <v>6</v>
      </c>
      <c r="E41">
        <v>6</v>
      </c>
      <c r="F41">
        <v>6</v>
      </c>
      <c r="G41">
        <v>2</v>
      </c>
      <c r="H41">
        <v>2</v>
      </c>
      <c r="I41">
        <v>2</v>
      </c>
    </row>
    <row r="42" spans="1:9" x14ac:dyDescent="0.3">
      <c r="A42">
        <v>7</v>
      </c>
      <c r="B42">
        <v>7</v>
      </c>
      <c r="C42">
        <v>7</v>
      </c>
      <c r="D42">
        <v>1</v>
      </c>
      <c r="E42">
        <v>1</v>
      </c>
      <c r="F42">
        <v>4</v>
      </c>
      <c r="G42">
        <v>2</v>
      </c>
      <c r="H42">
        <v>2</v>
      </c>
      <c r="I42">
        <v>7</v>
      </c>
    </row>
    <row r="43" spans="1:9" x14ac:dyDescent="0.3">
      <c r="A43">
        <v>6</v>
      </c>
      <c r="B43">
        <v>6</v>
      </c>
      <c r="C43">
        <v>5</v>
      </c>
      <c r="D43">
        <v>7</v>
      </c>
      <c r="E43">
        <v>7</v>
      </c>
      <c r="F43">
        <v>6</v>
      </c>
      <c r="G43">
        <v>6</v>
      </c>
      <c r="H43">
        <v>7</v>
      </c>
      <c r="I43">
        <v>7</v>
      </c>
    </row>
    <row r="44" spans="1:9" x14ac:dyDescent="0.3">
      <c r="A44">
        <v>3</v>
      </c>
      <c r="B44">
        <v>7</v>
      </c>
      <c r="C44">
        <v>6</v>
      </c>
      <c r="D44">
        <v>7</v>
      </c>
      <c r="E44">
        <v>1</v>
      </c>
      <c r="F44">
        <v>3</v>
      </c>
      <c r="G44">
        <v>5</v>
      </c>
      <c r="H44">
        <v>6</v>
      </c>
      <c r="I44">
        <v>3</v>
      </c>
    </row>
    <row r="45" spans="1:9" x14ac:dyDescent="0.3">
      <c r="A45">
        <v>5</v>
      </c>
      <c r="B45">
        <v>6</v>
      </c>
      <c r="C45">
        <v>4</v>
      </c>
      <c r="D45">
        <v>4</v>
      </c>
      <c r="E45">
        <v>3</v>
      </c>
      <c r="F45">
        <v>3</v>
      </c>
      <c r="G45">
        <v>4</v>
      </c>
      <c r="H45">
        <v>3</v>
      </c>
      <c r="I45">
        <v>4</v>
      </c>
    </row>
    <row r="46" spans="1:9" x14ac:dyDescent="0.3">
      <c r="A46" s="16">
        <v>7</v>
      </c>
      <c r="B46" s="16">
        <v>7</v>
      </c>
      <c r="C46" s="16">
        <v>7</v>
      </c>
      <c r="D46" s="16">
        <v>7</v>
      </c>
      <c r="E46" s="16">
        <v>7</v>
      </c>
      <c r="F46" s="16">
        <v>7</v>
      </c>
      <c r="G46" s="16">
        <v>7</v>
      </c>
      <c r="H46" s="16">
        <v>7</v>
      </c>
      <c r="I46" s="16">
        <v>7</v>
      </c>
    </row>
    <row r="47" spans="1:9" x14ac:dyDescent="0.3">
      <c r="A47">
        <v>1</v>
      </c>
      <c r="B47">
        <v>6</v>
      </c>
      <c r="C47">
        <v>6</v>
      </c>
      <c r="D47">
        <v>4</v>
      </c>
      <c r="E47">
        <v>1</v>
      </c>
      <c r="F47">
        <v>5</v>
      </c>
      <c r="G47">
        <v>1</v>
      </c>
      <c r="H47">
        <v>4</v>
      </c>
      <c r="I47">
        <v>6</v>
      </c>
    </row>
    <row r="48" spans="1:9" x14ac:dyDescent="0.3">
      <c r="A48">
        <v>6</v>
      </c>
      <c r="B48">
        <v>6</v>
      </c>
      <c r="C48">
        <v>6</v>
      </c>
      <c r="D48">
        <v>6</v>
      </c>
      <c r="E48">
        <v>6</v>
      </c>
      <c r="F48">
        <v>7</v>
      </c>
      <c r="G48">
        <v>6</v>
      </c>
      <c r="H48">
        <v>6</v>
      </c>
      <c r="I48">
        <v>6</v>
      </c>
    </row>
    <row r="49" spans="1:9" x14ac:dyDescent="0.3">
      <c r="A49">
        <v>5</v>
      </c>
      <c r="B49">
        <v>6</v>
      </c>
      <c r="C49">
        <v>4</v>
      </c>
      <c r="D49">
        <v>5</v>
      </c>
      <c r="E49">
        <v>5</v>
      </c>
      <c r="F49">
        <v>3</v>
      </c>
      <c r="G49">
        <v>5</v>
      </c>
      <c r="H49">
        <v>5</v>
      </c>
      <c r="I49">
        <v>5</v>
      </c>
    </row>
    <row r="50" spans="1:9" x14ac:dyDescent="0.3">
      <c r="A50">
        <v>4</v>
      </c>
      <c r="B50">
        <v>5</v>
      </c>
      <c r="C50">
        <v>3</v>
      </c>
      <c r="D50">
        <v>7</v>
      </c>
      <c r="E50">
        <v>6</v>
      </c>
      <c r="F50">
        <v>5</v>
      </c>
      <c r="G50">
        <v>5</v>
      </c>
      <c r="H50">
        <v>7</v>
      </c>
      <c r="I50">
        <v>6</v>
      </c>
    </row>
    <row r="51" spans="1:9" x14ac:dyDescent="0.3">
      <c r="A51">
        <v>6</v>
      </c>
      <c r="B51">
        <v>7</v>
      </c>
      <c r="C51">
        <v>5</v>
      </c>
      <c r="D51">
        <v>6</v>
      </c>
      <c r="E51">
        <v>4</v>
      </c>
      <c r="F51">
        <v>6</v>
      </c>
      <c r="G51">
        <v>6</v>
      </c>
      <c r="H51">
        <v>5</v>
      </c>
      <c r="I51">
        <v>7</v>
      </c>
    </row>
    <row r="52" spans="1:9" x14ac:dyDescent="0.3">
      <c r="A52">
        <v>5</v>
      </c>
      <c r="B52">
        <v>3</v>
      </c>
      <c r="C52">
        <v>5</v>
      </c>
      <c r="D52">
        <v>5</v>
      </c>
      <c r="E52">
        <v>5</v>
      </c>
      <c r="F52">
        <v>3</v>
      </c>
      <c r="G52">
        <v>7</v>
      </c>
      <c r="H52">
        <v>7</v>
      </c>
      <c r="I52">
        <v>7</v>
      </c>
    </row>
    <row r="53" spans="1:9" x14ac:dyDescent="0.3">
      <c r="A53">
        <v>3</v>
      </c>
      <c r="B53">
        <v>7</v>
      </c>
      <c r="C53">
        <v>3</v>
      </c>
      <c r="D53">
        <v>4</v>
      </c>
      <c r="E53">
        <v>5</v>
      </c>
      <c r="F53">
        <v>3</v>
      </c>
      <c r="G53">
        <v>6</v>
      </c>
      <c r="H53">
        <v>6</v>
      </c>
      <c r="I53">
        <v>7</v>
      </c>
    </row>
    <row r="54" spans="1:9" x14ac:dyDescent="0.3">
      <c r="A54">
        <v>5</v>
      </c>
      <c r="B54">
        <v>7</v>
      </c>
      <c r="C54">
        <v>5</v>
      </c>
      <c r="D54">
        <v>7</v>
      </c>
      <c r="E54">
        <v>7</v>
      </c>
      <c r="F54">
        <v>5</v>
      </c>
      <c r="G54">
        <v>6</v>
      </c>
      <c r="H54">
        <v>6</v>
      </c>
      <c r="I54">
        <v>6</v>
      </c>
    </row>
    <row r="55" spans="1:9" x14ac:dyDescent="0.3">
      <c r="A55">
        <v>5</v>
      </c>
      <c r="B55">
        <v>6</v>
      </c>
      <c r="C55">
        <v>2</v>
      </c>
      <c r="D55">
        <v>6</v>
      </c>
      <c r="E55">
        <v>4</v>
      </c>
      <c r="F55">
        <v>3</v>
      </c>
      <c r="G55">
        <v>5</v>
      </c>
      <c r="H55">
        <v>6</v>
      </c>
      <c r="I55">
        <v>6</v>
      </c>
    </row>
    <row r="56" spans="1:9" x14ac:dyDescent="0.3">
      <c r="A56">
        <v>7</v>
      </c>
      <c r="B56">
        <v>7</v>
      </c>
      <c r="C56">
        <v>7</v>
      </c>
      <c r="D56">
        <v>7</v>
      </c>
      <c r="E56">
        <v>7</v>
      </c>
      <c r="F56">
        <v>7</v>
      </c>
      <c r="G56">
        <v>6</v>
      </c>
      <c r="H56">
        <v>6</v>
      </c>
      <c r="I56">
        <v>7</v>
      </c>
    </row>
    <row r="57" spans="1:9" x14ac:dyDescent="0.3">
      <c r="A57">
        <v>4</v>
      </c>
      <c r="B57">
        <v>6</v>
      </c>
      <c r="C57">
        <v>6</v>
      </c>
      <c r="D57">
        <v>7</v>
      </c>
      <c r="E57">
        <v>6</v>
      </c>
      <c r="F57">
        <v>6</v>
      </c>
      <c r="G57">
        <v>5</v>
      </c>
      <c r="H57">
        <v>7</v>
      </c>
      <c r="I57">
        <v>6</v>
      </c>
    </row>
    <row r="58" spans="1:9" x14ac:dyDescent="0.3">
      <c r="A58">
        <v>6</v>
      </c>
      <c r="B58">
        <v>5</v>
      </c>
      <c r="C58">
        <v>5</v>
      </c>
      <c r="D58">
        <v>5</v>
      </c>
      <c r="E58">
        <v>5</v>
      </c>
      <c r="F58">
        <v>5</v>
      </c>
      <c r="G58">
        <v>6</v>
      </c>
      <c r="H58">
        <v>6</v>
      </c>
      <c r="I58">
        <v>7</v>
      </c>
    </row>
    <row r="59" spans="1:9" x14ac:dyDescent="0.3">
      <c r="A59">
        <v>4</v>
      </c>
      <c r="B59">
        <v>5</v>
      </c>
      <c r="C59">
        <v>5</v>
      </c>
      <c r="D59">
        <v>3</v>
      </c>
      <c r="E59">
        <v>3</v>
      </c>
      <c r="F59">
        <v>5</v>
      </c>
      <c r="G59">
        <v>5</v>
      </c>
      <c r="H59">
        <v>3</v>
      </c>
      <c r="I59">
        <v>5</v>
      </c>
    </row>
    <row r="60" spans="1:9" x14ac:dyDescent="0.3">
      <c r="A60">
        <v>5</v>
      </c>
      <c r="B60">
        <v>7</v>
      </c>
      <c r="C60">
        <v>1</v>
      </c>
      <c r="D60">
        <v>3</v>
      </c>
      <c r="E60">
        <v>4</v>
      </c>
      <c r="F60">
        <v>1</v>
      </c>
      <c r="G60">
        <v>3</v>
      </c>
      <c r="H60">
        <v>7</v>
      </c>
      <c r="I60">
        <v>7</v>
      </c>
    </row>
    <row r="61" spans="1:9" x14ac:dyDescent="0.3">
      <c r="A61">
        <v>3</v>
      </c>
      <c r="B61">
        <v>6</v>
      </c>
      <c r="C61">
        <v>1</v>
      </c>
      <c r="D61">
        <v>7</v>
      </c>
      <c r="E61">
        <v>7</v>
      </c>
      <c r="F61">
        <v>2</v>
      </c>
      <c r="G61">
        <v>2</v>
      </c>
      <c r="H61">
        <v>7</v>
      </c>
      <c r="I61">
        <v>6</v>
      </c>
    </row>
    <row r="62" spans="1:9" x14ac:dyDescent="0.3">
      <c r="A62">
        <v>3</v>
      </c>
      <c r="B62">
        <v>6</v>
      </c>
      <c r="C62">
        <v>6</v>
      </c>
      <c r="D62">
        <v>7</v>
      </c>
      <c r="E62">
        <v>4</v>
      </c>
      <c r="F62">
        <v>7</v>
      </c>
      <c r="G62">
        <v>5</v>
      </c>
      <c r="H62">
        <v>6</v>
      </c>
      <c r="I62">
        <v>6</v>
      </c>
    </row>
    <row r="63" spans="1:9" x14ac:dyDescent="0.3">
      <c r="A63">
        <v>5</v>
      </c>
      <c r="B63">
        <v>7</v>
      </c>
      <c r="C63">
        <v>6</v>
      </c>
      <c r="D63">
        <v>7</v>
      </c>
      <c r="E63">
        <v>6</v>
      </c>
      <c r="F63">
        <v>6</v>
      </c>
      <c r="G63">
        <v>5</v>
      </c>
      <c r="H63">
        <v>7</v>
      </c>
      <c r="I63">
        <v>7</v>
      </c>
    </row>
    <row r="64" spans="1:9" x14ac:dyDescent="0.3">
      <c r="A64" s="2" t="s">
        <v>0</v>
      </c>
      <c r="B64" s="2" t="s">
        <v>0</v>
      </c>
      <c r="C64" s="2" t="s">
        <v>0</v>
      </c>
      <c r="D64" s="2" t="s">
        <v>0</v>
      </c>
      <c r="E64" s="2" t="s">
        <v>0</v>
      </c>
      <c r="F64" s="2" t="s">
        <v>0</v>
      </c>
      <c r="G64" s="2" t="s">
        <v>0</v>
      </c>
      <c r="H64" s="2" t="s">
        <v>0</v>
      </c>
      <c r="I64" s="2" t="s">
        <v>0</v>
      </c>
    </row>
    <row r="65" spans="1:9" x14ac:dyDescent="0.3">
      <c r="A65" s="2" t="s">
        <v>0</v>
      </c>
      <c r="B65" s="2" t="s">
        <v>0</v>
      </c>
      <c r="C65" s="2" t="s">
        <v>0</v>
      </c>
      <c r="D65" s="2" t="s">
        <v>0</v>
      </c>
      <c r="E65" s="2" t="s">
        <v>0</v>
      </c>
      <c r="F65" s="2" t="s">
        <v>0</v>
      </c>
      <c r="G65" s="2" t="s">
        <v>0</v>
      </c>
      <c r="H65" s="2" t="s">
        <v>0</v>
      </c>
      <c r="I65" s="2" t="s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BAC2F-F11E-48D8-89EB-44B094CC2757}">
  <sheetPr codeName="Sheet3"/>
  <dimension ref="A1:J64"/>
  <sheetViews>
    <sheetView workbookViewId="0">
      <selection activeCell="J6" sqref="J6"/>
    </sheetView>
  </sheetViews>
  <sheetFormatPr defaultColWidth="8.77734375" defaultRowHeight="14.4" x14ac:dyDescent="0.3"/>
  <sheetData>
    <row r="1" spans="1:10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</row>
    <row r="2" spans="1:10" ht="15" thickBot="1" x14ac:dyDescent="0.35">
      <c r="A2">
        <v>1</v>
      </c>
      <c r="B2">
        <v>5.5000000000000009</v>
      </c>
      <c r="C2">
        <v>0.62500000000000044</v>
      </c>
      <c r="D2">
        <v>1.3749999999999998</v>
      </c>
      <c r="E2">
        <v>0.99999999999999911</v>
      </c>
      <c r="F2">
        <v>-1.7500000000000011</v>
      </c>
      <c r="G2">
        <v>-0.250000000000001</v>
      </c>
      <c r="H2">
        <v>-1.0000000000000007</v>
      </c>
      <c r="I2">
        <v>0</v>
      </c>
      <c r="J2" s="4">
        <v>-0.49999999999999978</v>
      </c>
    </row>
    <row r="3" spans="1:10" ht="15" thickBot="1" x14ac:dyDescent="0.35">
      <c r="A3">
        <v>2</v>
      </c>
      <c r="B3">
        <v>3.5000000000000031</v>
      </c>
      <c r="C3">
        <v>-3.7500000000000027</v>
      </c>
      <c r="D3">
        <v>-2.7500000000000044</v>
      </c>
      <c r="E3">
        <v>4.4999999999999991</v>
      </c>
      <c r="F3">
        <v>4.5</v>
      </c>
      <c r="G3">
        <v>6.9999999999999991</v>
      </c>
      <c r="H3">
        <v>1.5</v>
      </c>
      <c r="I3">
        <v>0</v>
      </c>
      <c r="J3" s="4">
        <v>-0.50000000000000122</v>
      </c>
    </row>
    <row r="4" spans="1:10" ht="15" thickBot="1" x14ac:dyDescent="0.35">
      <c r="A4">
        <v>3</v>
      </c>
      <c r="B4">
        <v>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 s="4">
        <v>0</v>
      </c>
    </row>
    <row r="5" spans="1:10" ht="15" thickBot="1" x14ac:dyDescent="0.35">
      <c r="A5">
        <v>4</v>
      </c>
      <c r="B5">
        <v>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 s="4">
        <v>0</v>
      </c>
    </row>
    <row r="6" spans="1:10" ht="15" thickBot="1" x14ac:dyDescent="0.35">
      <c r="A6">
        <v>5</v>
      </c>
      <c r="B6">
        <v>5</v>
      </c>
      <c r="C6">
        <v>-1.2500000000000009</v>
      </c>
      <c r="D6">
        <v>-2.7500000000000009</v>
      </c>
      <c r="E6">
        <v>1</v>
      </c>
      <c r="F6">
        <v>-1.4999999999999987</v>
      </c>
      <c r="G6">
        <v>-0.49999999999999856</v>
      </c>
      <c r="H6">
        <v>1.0000000000000004</v>
      </c>
      <c r="I6">
        <v>0</v>
      </c>
      <c r="J6" s="4">
        <v>0.99999999999999956</v>
      </c>
    </row>
    <row r="7" spans="1:10" ht="15" thickBot="1" x14ac:dyDescent="0.35">
      <c r="A7">
        <v>6</v>
      </c>
      <c r="B7">
        <v>3</v>
      </c>
      <c r="C7">
        <v>1.9999999999999996</v>
      </c>
      <c r="D7">
        <v>0</v>
      </c>
      <c r="E7">
        <v>-0.99999999999999933</v>
      </c>
      <c r="F7">
        <v>0.99999999999999978</v>
      </c>
      <c r="G7">
        <v>0.99999999999999922</v>
      </c>
      <c r="H7">
        <v>2.6521370819096691E-16</v>
      </c>
      <c r="I7">
        <v>0</v>
      </c>
      <c r="J7" s="4">
        <v>0</v>
      </c>
    </row>
    <row r="8" spans="1:10" ht="15" thickBot="1" x14ac:dyDescent="0.35">
      <c r="A8">
        <v>7</v>
      </c>
      <c r="B8">
        <v>5.0000000000000009</v>
      </c>
      <c r="C8">
        <v>0.24999999999999939</v>
      </c>
      <c r="D8">
        <v>0.749999999999999</v>
      </c>
      <c r="E8">
        <v>0.99999999999999911</v>
      </c>
      <c r="F8">
        <v>0.49999999999999972</v>
      </c>
      <c r="G8">
        <v>1.4999999999999993</v>
      </c>
      <c r="H8">
        <v>-3.0499576441961196E-16</v>
      </c>
      <c r="I8">
        <v>0</v>
      </c>
      <c r="J8" s="4">
        <v>-4.5715215232519518E-16</v>
      </c>
    </row>
    <row r="9" spans="1:10" ht="15" thickBot="1" x14ac:dyDescent="0.35">
      <c r="A9">
        <v>8</v>
      </c>
      <c r="B9">
        <v>6.5000000000000027</v>
      </c>
      <c r="C9">
        <v>-3.6250000000000049</v>
      </c>
      <c r="D9">
        <v>-2.375000000000004</v>
      </c>
      <c r="E9">
        <v>1.0560327403778453E-15</v>
      </c>
      <c r="F9">
        <v>2.7500000000000022</v>
      </c>
      <c r="G9">
        <v>-0.74999999999999778</v>
      </c>
      <c r="H9">
        <v>1.8034532156985753E-15</v>
      </c>
      <c r="I9">
        <v>0</v>
      </c>
      <c r="J9" s="4">
        <v>-0.50000000000000067</v>
      </c>
    </row>
    <row r="10" spans="1:10" ht="15" thickBot="1" x14ac:dyDescent="0.35">
      <c r="A10">
        <v>9</v>
      </c>
      <c r="B10">
        <v>5</v>
      </c>
      <c r="C10">
        <v>1.1250000000000002</v>
      </c>
      <c r="D10">
        <v>0.37500000000000017</v>
      </c>
      <c r="E10">
        <v>-0.5</v>
      </c>
      <c r="F10">
        <v>-0.75</v>
      </c>
      <c r="G10">
        <v>-0.75000000000000011</v>
      </c>
      <c r="H10">
        <v>-1.5</v>
      </c>
      <c r="I10">
        <v>0</v>
      </c>
      <c r="J10" s="4">
        <v>-2.5839034696641466E-16</v>
      </c>
    </row>
    <row r="11" spans="1:10" ht="15" thickBot="1" x14ac:dyDescent="0.35">
      <c r="A11">
        <v>10</v>
      </c>
      <c r="B11">
        <v>4.0000000000000009</v>
      </c>
      <c r="C11">
        <v>-0.24999999999999978</v>
      </c>
      <c r="D11">
        <v>-0.74999999999999978</v>
      </c>
      <c r="E11">
        <v>1.2540388791986914E-16</v>
      </c>
      <c r="F11">
        <v>0.5</v>
      </c>
      <c r="G11">
        <v>0.50000000000000011</v>
      </c>
      <c r="H11">
        <v>7.9564112457290076E-17</v>
      </c>
      <c r="I11">
        <v>0</v>
      </c>
      <c r="J11" s="4">
        <v>1.9876180535878052E-16</v>
      </c>
    </row>
    <row r="12" spans="1:10" ht="15" thickBot="1" x14ac:dyDescent="0.35">
      <c r="A12">
        <v>11</v>
      </c>
      <c r="B12">
        <v>7.5</v>
      </c>
      <c r="C12">
        <v>-0.62499999999999989</v>
      </c>
      <c r="D12">
        <v>-0.37499999999999978</v>
      </c>
      <c r="E12">
        <v>3.9601227764169198E-16</v>
      </c>
      <c r="F12">
        <v>-4.2500000000000009</v>
      </c>
      <c r="G12">
        <v>0.24999999999999992</v>
      </c>
      <c r="H12">
        <v>4.3760261851509544E-16</v>
      </c>
      <c r="I12">
        <v>0</v>
      </c>
      <c r="J12" s="4">
        <v>-0.49999999999999911</v>
      </c>
    </row>
    <row r="13" spans="1:10" ht="15" thickBot="1" x14ac:dyDescent="0.35">
      <c r="A13">
        <v>12</v>
      </c>
      <c r="B13">
        <v>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 s="4">
        <v>0</v>
      </c>
    </row>
    <row r="14" spans="1:10" ht="15" thickBot="1" x14ac:dyDescent="0.35">
      <c r="A14">
        <v>13</v>
      </c>
      <c r="B14">
        <v>7.0000000000000009</v>
      </c>
      <c r="C14">
        <v>-1.500000000000002</v>
      </c>
      <c r="D14">
        <v>-4.5000000000000018</v>
      </c>
      <c r="E14">
        <v>1.7952556586423372E-15</v>
      </c>
      <c r="F14">
        <v>3.0000000000000022</v>
      </c>
      <c r="G14">
        <v>3.0000000000000027</v>
      </c>
      <c r="H14">
        <v>2.7051798235478628E-15</v>
      </c>
      <c r="I14">
        <v>0</v>
      </c>
      <c r="J14" s="4">
        <v>3.1801888857404881E-16</v>
      </c>
    </row>
    <row r="15" spans="1:10" ht="15" thickBot="1" x14ac:dyDescent="0.35">
      <c r="A15">
        <v>14</v>
      </c>
      <c r="B15">
        <v>5.5</v>
      </c>
      <c r="C15">
        <v>-0.62499999999999978</v>
      </c>
      <c r="D15">
        <v>-0.37500000000000039</v>
      </c>
      <c r="E15">
        <v>0.99999999999999956</v>
      </c>
      <c r="F15">
        <v>0.74999999999999967</v>
      </c>
      <c r="G15">
        <v>2.25</v>
      </c>
      <c r="H15">
        <v>-2.2543165196232192E-16</v>
      </c>
      <c r="I15">
        <v>0</v>
      </c>
      <c r="J15" s="4">
        <v>-0.5</v>
      </c>
    </row>
    <row r="16" spans="1:10" ht="15" thickBot="1" x14ac:dyDescent="0.35">
      <c r="A16">
        <v>15</v>
      </c>
      <c r="B16">
        <v>4.0000000000000027</v>
      </c>
      <c r="C16">
        <v>-1.5000000000000024</v>
      </c>
      <c r="D16">
        <v>-2.5000000000000031</v>
      </c>
      <c r="E16">
        <v>4</v>
      </c>
      <c r="F16">
        <v>3.0000000000000009</v>
      </c>
      <c r="G16">
        <v>4.0000000000000009</v>
      </c>
      <c r="H16">
        <v>1.1669403160402544E-15</v>
      </c>
      <c r="I16">
        <v>0</v>
      </c>
      <c r="J16" s="4">
        <v>-2.3851416643053663E-16</v>
      </c>
    </row>
    <row r="17" spans="1:10" ht="15" thickBot="1" x14ac:dyDescent="0.35">
      <c r="A17">
        <v>16</v>
      </c>
      <c r="B17">
        <v>4.4999999999999982</v>
      </c>
      <c r="C17">
        <v>1.1249999999999996</v>
      </c>
      <c r="D17">
        <v>-1.1250000000000004</v>
      </c>
      <c r="E17">
        <v>1.0000000000000007</v>
      </c>
      <c r="F17">
        <v>-0.749999999999999</v>
      </c>
      <c r="G17">
        <v>1.7500000000000018</v>
      </c>
      <c r="H17">
        <v>-1.9999999999999987</v>
      </c>
      <c r="I17">
        <v>0</v>
      </c>
      <c r="J17" s="4">
        <v>0.50000000000000044</v>
      </c>
    </row>
    <row r="18" spans="1:10" ht="15" thickBot="1" x14ac:dyDescent="0.35">
      <c r="A18">
        <v>17</v>
      </c>
      <c r="B18">
        <v>7.4999999999999991</v>
      </c>
      <c r="C18">
        <v>-2.625</v>
      </c>
      <c r="D18">
        <v>-1.3750000000000002</v>
      </c>
      <c r="E18">
        <v>3.1680982211335358E-16</v>
      </c>
      <c r="F18">
        <v>0.75000000000000022</v>
      </c>
      <c r="G18">
        <v>2.2500000000000004</v>
      </c>
      <c r="H18">
        <v>6.89555641296514E-16</v>
      </c>
      <c r="I18">
        <v>0</v>
      </c>
      <c r="J18" s="4">
        <v>-1.4999999999999993</v>
      </c>
    </row>
    <row r="19" spans="1:10" ht="15" thickBot="1" x14ac:dyDescent="0.35">
      <c r="A19">
        <v>18</v>
      </c>
      <c r="B19">
        <v>6.5000000000000009</v>
      </c>
      <c r="C19">
        <v>-0.750000000000001</v>
      </c>
      <c r="D19">
        <v>-0.75000000000000122</v>
      </c>
      <c r="E19">
        <v>1.5</v>
      </c>
      <c r="F19">
        <v>-0.49999999999999944</v>
      </c>
      <c r="G19">
        <v>1.0000000000000002</v>
      </c>
      <c r="H19">
        <v>-0.49999999999999939</v>
      </c>
      <c r="I19">
        <v>0</v>
      </c>
      <c r="J19" s="4">
        <v>-0.50000000000000022</v>
      </c>
    </row>
    <row r="20" spans="1:10" ht="15" thickBot="1" x14ac:dyDescent="0.35">
      <c r="A20">
        <v>19</v>
      </c>
      <c r="B20">
        <v>2.0000000000000009</v>
      </c>
      <c r="C20">
        <v>2.75</v>
      </c>
      <c r="D20">
        <v>4.25</v>
      </c>
      <c r="E20">
        <v>0.99999999999999878</v>
      </c>
      <c r="F20">
        <v>-1.5</v>
      </c>
      <c r="G20">
        <v>-0.50000000000000089</v>
      </c>
      <c r="H20">
        <v>-1.0000000000000011</v>
      </c>
      <c r="I20">
        <v>0</v>
      </c>
      <c r="J20" s="4">
        <v>0.99999999999999878</v>
      </c>
    </row>
    <row r="21" spans="1:10" ht="15" thickBot="1" x14ac:dyDescent="0.35">
      <c r="A21">
        <v>20</v>
      </c>
      <c r="B21">
        <v>6</v>
      </c>
      <c r="C21">
        <v>-1.6250000000000007</v>
      </c>
      <c r="D21">
        <v>-0.87500000000000155</v>
      </c>
      <c r="E21">
        <v>2.4999999999999991</v>
      </c>
      <c r="F21">
        <v>-0.25000000000000022</v>
      </c>
      <c r="G21">
        <v>0.75</v>
      </c>
      <c r="H21">
        <v>-1.4999999999999998</v>
      </c>
      <c r="I21">
        <v>0</v>
      </c>
      <c r="J21" s="4">
        <v>-0.99999999999999989</v>
      </c>
    </row>
    <row r="22" spans="1:10" ht="15" thickBot="1" x14ac:dyDescent="0.35">
      <c r="A22">
        <v>21</v>
      </c>
      <c r="B22">
        <v>5.5</v>
      </c>
      <c r="C22">
        <v>-0.87500000000000044</v>
      </c>
      <c r="D22">
        <v>-1.1250000000000004</v>
      </c>
      <c r="E22">
        <v>1</v>
      </c>
      <c r="F22">
        <v>1.2500000000000002</v>
      </c>
      <c r="G22">
        <v>0.75</v>
      </c>
      <c r="H22">
        <v>3.712991914673537E-16</v>
      </c>
      <c r="I22">
        <v>0</v>
      </c>
      <c r="J22" s="4">
        <v>-0.49999999999999978</v>
      </c>
    </row>
    <row r="23" spans="1:10" ht="15" thickBot="1" x14ac:dyDescent="0.35">
      <c r="A23">
        <v>22</v>
      </c>
      <c r="B23">
        <v>6.4999999999999991</v>
      </c>
      <c r="C23">
        <v>-2.25</v>
      </c>
      <c r="D23">
        <v>-3.2500000000000004</v>
      </c>
      <c r="E23">
        <v>0.5</v>
      </c>
      <c r="F23">
        <v>-1.4999999999999989</v>
      </c>
      <c r="G23">
        <v>2.0000000000000013</v>
      </c>
      <c r="H23">
        <v>-0.49999999999999895</v>
      </c>
      <c r="I23">
        <v>0</v>
      </c>
      <c r="J23" s="4">
        <v>-0.49999999999999944</v>
      </c>
    </row>
    <row r="24" spans="1:10" ht="15" thickBot="1" x14ac:dyDescent="0.35">
      <c r="A24">
        <v>23</v>
      </c>
      <c r="B24">
        <v>5.5</v>
      </c>
      <c r="C24">
        <v>-0.12500000000000053</v>
      </c>
      <c r="D24">
        <v>0.12499999999999906</v>
      </c>
      <c r="E24">
        <v>0.99999999999999933</v>
      </c>
      <c r="F24">
        <v>0.74999999999999967</v>
      </c>
      <c r="G24">
        <v>1.2499999999999993</v>
      </c>
      <c r="H24">
        <v>-2.3206199466709607E-16</v>
      </c>
      <c r="I24">
        <v>0</v>
      </c>
      <c r="J24" s="4">
        <v>-0.50000000000000011</v>
      </c>
    </row>
    <row r="25" spans="1:10" ht="15" thickBot="1" x14ac:dyDescent="0.35">
      <c r="A25">
        <v>24</v>
      </c>
      <c r="B25">
        <v>1.000000000000002</v>
      </c>
      <c r="C25">
        <v>1.1846681862633941E-16</v>
      </c>
      <c r="D25">
        <v>7.4476024597418191E-17</v>
      </c>
      <c r="E25">
        <v>3.9999999999999973</v>
      </c>
      <c r="F25">
        <v>-1.4566275481545451E-15</v>
      </c>
      <c r="G25">
        <v>5.9999999999999982</v>
      </c>
      <c r="H25">
        <v>-8.1799287607937972E-16</v>
      </c>
      <c r="I25">
        <v>0</v>
      </c>
      <c r="J25" s="4">
        <v>-8.3479958250687813E-16</v>
      </c>
    </row>
    <row r="26" spans="1:10" ht="15" thickBot="1" x14ac:dyDescent="0.35">
      <c r="A26">
        <v>25</v>
      </c>
      <c r="B26">
        <v>9</v>
      </c>
      <c r="C26">
        <v>-3.6250000000000013</v>
      </c>
      <c r="D26">
        <v>-4.875</v>
      </c>
      <c r="E26">
        <v>0.50000000000000078</v>
      </c>
      <c r="F26">
        <v>2.7500000000000009</v>
      </c>
      <c r="G26">
        <v>-0.24999999999999831</v>
      </c>
      <c r="H26">
        <v>0.50000000000000122</v>
      </c>
      <c r="I26">
        <v>0</v>
      </c>
      <c r="J26" s="4">
        <v>-1.9999999999999991</v>
      </c>
    </row>
    <row r="27" spans="1:10" ht="15" thickBot="1" x14ac:dyDescent="0.35">
      <c r="A27">
        <v>26</v>
      </c>
      <c r="B27">
        <v>5.4999999999999991</v>
      </c>
      <c r="C27">
        <v>2.0771509446240278E-16</v>
      </c>
      <c r="D27">
        <v>0.50000000000000022</v>
      </c>
      <c r="E27">
        <v>-0.5</v>
      </c>
      <c r="F27">
        <v>1.1379902719957383E-16</v>
      </c>
      <c r="G27">
        <v>-0.49999999999999989</v>
      </c>
      <c r="H27">
        <v>0.5</v>
      </c>
      <c r="I27">
        <v>0</v>
      </c>
      <c r="J27" s="4">
        <v>0.49999999999999994</v>
      </c>
    </row>
    <row r="28" spans="1:10" ht="15" thickBot="1" x14ac:dyDescent="0.35">
      <c r="A28">
        <v>27</v>
      </c>
      <c r="B28">
        <v>4.9999999999999982</v>
      </c>
      <c r="C28">
        <v>-0.62500000000000044</v>
      </c>
      <c r="D28">
        <v>0.12500000000000008</v>
      </c>
      <c r="E28">
        <v>-1.4999999999999991</v>
      </c>
      <c r="F28">
        <v>0.750000000000001</v>
      </c>
      <c r="G28">
        <v>-0.24999999999999922</v>
      </c>
      <c r="H28">
        <v>0.50000000000000067</v>
      </c>
      <c r="I28">
        <v>0</v>
      </c>
      <c r="J28" s="4">
        <v>1.9999999999999998</v>
      </c>
    </row>
    <row r="29" spans="1:10" ht="15" thickBot="1" x14ac:dyDescent="0.35">
      <c r="A29">
        <v>28</v>
      </c>
      <c r="B29">
        <v>4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 s="4">
        <v>0</v>
      </c>
    </row>
    <row r="30" spans="1:10" ht="15" thickBot="1" x14ac:dyDescent="0.35">
      <c r="A30">
        <v>29</v>
      </c>
      <c r="B30">
        <v>5.9999999999999982</v>
      </c>
      <c r="C30">
        <v>-1.1250000000000009</v>
      </c>
      <c r="D30">
        <v>-1.3750000000000007</v>
      </c>
      <c r="E30">
        <v>-0.49999999999999944</v>
      </c>
      <c r="F30">
        <v>0.75000000000000033</v>
      </c>
      <c r="G30">
        <v>1.7500000000000004</v>
      </c>
      <c r="H30">
        <v>0.50000000000000044</v>
      </c>
      <c r="I30">
        <v>0</v>
      </c>
      <c r="J30" s="4">
        <v>-0.99999999999999989</v>
      </c>
    </row>
    <row r="31" spans="1:10" ht="15" thickBot="1" x14ac:dyDescent="0.35">
      <c r="A31">
        <v>30</v>
      </c>
      <c r="B31">
        <v>5.9999999999999991</v>
      </c>
      <c r="C31">
        <v>1.0000000000000002</v>
      </c>
      <c r="D31">
        <v>-1.9999999999999998</v>
      </c>
      <c r="E31">
        <v>-5.2801637018892263E-17</v>
      </c>
      <c r="F31">
        <v>-2.7311766527897722E-16</v>
      </c>
      <c r="G31">
        <v>-1.4548180793995024E-16</v>
      </c>
      <c r="H31">
        <v>-2.6521370819096693E-17</v>
      </c>
      <c r="I31">
        <v>0</v>
      </c>
      <c r="J31" s="4">
        <v>1.9876180535878052E-16</v>
      </c>
    </row>
    <row r="32" spans="1:10" ht="15" thickBot="1" x14ac:dyDescent="0.35">
      <c r="A32">
        <v>31</v>
      </c>
      <c r="B32">
        <v>6.0000000000000018</v>
      </c>
      <c r="C32">
        <v>-0.37500000000000028</v>
      </c>
      <c r="D32">
        <v>-0.12500000000000072</v>
      </c>
      <c r="E32">
        <v>1.4999999999999998</v>
      </c>
      <c r="F32">
        <v>0.24999999999999958</v>
      </c>
      <c r="G32">
        <v>1.2499999999999996</v>
      </c>
      <c r="H32">
        <v>-0.50000000000000056</v>
      </c>
      <c r="I32">
        <v>0</v>
      </c>
      <c r="J32" s="4">
        <v>-0.99999999999999989</v>
      </c>
    </row>
    <row r="33" spans="1:10" ht="15" thickBot="1" x14ac:dyDescent="0.35">
      <c r="A33">
        <v>32</v>
      </c>
      <c r="B33">
        <v>6.0000000000000009</v>
      </c>
      <c r="C33">
        <v>-1.3750000000000007</v>
      </c>
      <c r="D33">
        <v>-1.1250000000000016</v>
      </c>
      <c r="E33">
        <v>2.4999999999999996</v>
      </c>
      <c r="F33">
        <v>2.2500000000000004</v>
      </c>
      <c r="G33">
        <v>2.25</v>
      </c>
      <c r="H33">
        <v>-1.5</v>
      </c>
      <c r="I33">
        <v>0</v>
      </c>
      <c r="J33" s="4">
        <v>-1.0000000000000002</v>
      </c>
    </row>
    <row r="34" spans="1:10" ht="15" thickBot="1" x14ac:dyDescent="0.35">
      <c r="A34">
        <v>33</v>
      </c>
      <c r="B34">
        <v>3.4999999999999996</v>
      </c>
      <c r="C34">
        <v>0.37499999999999978</v>
      </c>
      <c r="D34">
        <v>-0.375</v>
      </c>
      <c r="E34">
        <v>2.3760736658501519E-16</v>
      </c>
      <c r="F34">
        <v>-0.24999999999999978</v>
      </c>
      <c r="G34">
        <v>0.25000000000000017</v>
      </c>
      <c r="H34">
        <v>1.3260685409548346E-16</v>
      </c>
      <c r="I34">
        <v>0</v>
      </c>
      <c r="J34" s="4">
        <v>0.49999999999999983</v>
      </c>
    </row>
    <row r="35" spans="1:10" ht="15" thickBot="1" x14ac:dyDescent="0.35">
      <c r="A35">
        <v>34</v>
      </c>
      <c r="B35">
        <v>5.4999999999999973</v>
      </c>
      <c r="C35">
        <v>-0.25000000000000044</v>
      </c>
      <c r="D35">
        <v>-2.2499999999999991</v>
      </c>
      <c r="E35">
        <v>-0.49999999999999928</v>
      </c>
      <c r="F35">
        <v>1.5000000000000007</v>
      </c>
      <c r="G35">
        <v>1.0000000000000007</v>
      </c>
      <c r="H35">
        <v>0.50000000000000067</v>
      </c>
      <c r="I35">
        <v>0</v>
      </c>
      <c r="J35" s="4">
        <v>0.50000000000000011</v>
      </c>
    </row>
    <row r="36" spans="1:10" ht="15" thickBot="1" x14ac:dyDescent="0.35">
      <c r="A36">
        <v>35</v>
      </c>
      <c r="B36">
        <v>0.50000000000000233</v>
      </c>
      <c r="C36">
        <v>0.374999999999998</v>
      </c>
      <c r="D36">
        <v>0.62499999999999734</v>
      </c>
      <c r="E36">
        <v>4</v>
      </c>
      <c r="F36">
        <v>0.75000000000000133</v>
      </c>
      <c r="G36">
        <v>5.25</v>
      </c>
      <c r="H36">
        <v>6.6303427047741731E-16</v>
      </c>
      <c r="I36">
        <v>0</v>
      </c>
      <c r="J36" s="4">
        <v>0.49999999999999895</v>
      </c>
    </row>
    <row r="37" spans="1:10" ht="15" thickBot="1" x14ac:dyDescent="0.35">
      <c r="A37">
        <v>36</v>
      </c>
      <c r="B37">
        <v>6</v>
      </c>
      <c r="C37">
        <v>3.9053405867468347E-16</v>
      </c>
      <c r="D37">
        <v>1.0000000000000002</v>
      </c>
      <c r="E37">
        <v>-3.4842953127240568E-16</v>
      </c>
      <c r="F37">
        <v>-4.3263858607696062E-16</v>
      </c>
      <c r="G37">
        <v>-4.3263858607696062E-16</v>
      </c>
      <c r="H37">
        <v>-3.4842953127240568E-16</v>
      </c>
      <c r="I37">
        <v>0</v>
      </c>
      <c r="J37" s="4">
        <v>8.8267973090152781E-32</v>
      </c>
    </row>
    <row r="38" spans="1:10" ht="15" thickBot="1" x14ac:dyDescent="0.35">
      <c r="A38">
        <v>37</v>
      </c>
      <c r="B38">
        <v>4</v>
      </c>
      <c r="C38">
        <v>9.8562691794219881E-18</v>
      </c>
      <c r="D38">
        <v>2.792850922403182E-17</v>
      </c>
      <c r="E38">
        <v>2.1905352909895516E-17</v>
      </c>
      <c r="F38">
        <v>0.99999999999999978</v>
      </c>
      <c r="G38">
        <v>-1.1343731449299406E-16</v>
      </c>
      <c r="H38">
        <v>2.1905352909895488E-17</v>
      </c>
      <c r="I38">
        <v>0</v>
      </c>
      <c r="J38" s="4">
        <v>7.9504722143512202E-17</v>
      </c>
    </row>
    <row r="39" spans="1:10" ht="15" thickBot="1" x14ac:dyDescent="0.35">
      <c r="A39">
        <v>38</v>
      </c>
      <c r="B39">
        <v>5.5</v>
      </c>
      <c r="C39">
        <v>-0.49999999999999917</v>
      </c>
      <c r="D39">
        <v>5.9580819677934553E-16</v>
      </c>
      <c r="E39">
        <v>0.49999999999999944</v>
      </c>
      <c r="F39">
        <v>-5.4623533055795445E-16</v>
      </c>
      <c r="G39">
        <v>1.4999999999999996</v>
      </c>
      <c r="H39">
        <v>-0.49999999999999989</v>
      </c>
      <c r="I39">
        <v>0</v>
      </c>
      <c r="J39" s="4">
        <v>-0.49999999999999961</v>
      </c>
    </row>
    <row r="40" spans="1:10" ht="15" thickBot="1" x14ac:dyDescent="0.35">
      <c r="A40">
        <v>39</v>
      </c>
      <c r="B40">
        <v>1.500000000000002</v>
      </c>
      <c r="C40">
        <v>0.37499999999999656</v>
      </c>
      <c r="D40">
        <v>-0.37500000000000255</v>
      </c>
      <c r="E40">
        <v>1.0692331496325684E-15</v>
      </c>
      <c r="F40">
        <v>-0.24999999999999575</v>
      </c>
      <c r="G40">
        <v>0.25000000000000216</v>
      </c>
      <c r="H40">
        <v>9.9455140571612606E-16</v>
      </c>
      <c r="I40">
        <v>0</v>
      </c>
      <c r="J40" s="4">
        <v>4.4999999999999956</v>
      </c>
    </row>
    <row r="41" spans="1:10" ht="15" thickBot="1" x14ac:dyDescent="0.35">
      <c r="A41">
        <v>40</v>
      </c>
      <c r="B41">
        <v>2.9999999999999996</v>
      </c>
      <c r="C41">
        <v>1.8750000000000033</v>
      </c>
      <c r="D41">
        <v>3.6250000000000022</v>
      </c>
      <c r="E41">
        <v>2.4999999999999973</v>
      </c>
      <c r="F41">
        <v>0.74999999999999623</v>
      </c>
      <c r="G41">
        <v>-3.2500000000000031</v>
      </c>
      <c r="H41">
        <v>-2.5000000000000018</v>
      </c>
      <c r="I41">
        <v>0</v>
      </c>
      <c r="J41" s="4">
        <v>-1.9999999999999984</v>
      </c>
    </row>
    <row r="42" spans="1:10" ht="15" thickBot="1" x14ac:dyDescent="0.35">
      <c r="A42">
        <v>41</v>
      </c>
      <c r="B42">
        <v>6.5</v>
      </c>
      <c r="C42">
        <v>-3.3886017204988989E-16</v>
      </c>
      <c r="D42">
        <v>-0.50000000000000056</v>
      </c>
      <c r="E42">
        <v>0.50000000000000011</v>
      </c>
      <c r="F42">
        <v>-0.99999999999999967</v>
      </c>
      <c r="G42">
        <v>0.50000000000000011</v>
      </c>
      <c r="H42">
        <v>-0.49999999999999967</v>
      </c>
      <c r="I42">
        <v>0</v>
      </c>
      <c r="J42" s="4">
        <v>0.49999999999999983</v>
      </c>
    </row>
    <row r="43" spans="1:10" ht="15" thickBot="1" x14ac:dyDescent="0.35">
      <c r="A43">
        <v>42</v>
      </c>
      <c r="B43">
        <v>2.0000000000000009</v>
      </c>
      <c r="C43">
        <v>-0.24999999999999911</v>
      </c>
      <c r="D43">
        <v>1.2500000000000004</v>
      </c>
      <c r="E43">
        <v>0.99999999999999889</v>
      </c>
      <c r="F43">
        <v>2.4999999999999987</v>
      </c>
      <c r="G43">
        <v>4.4999999999999982</v>
      </c>
      <c r="H43">
        <v>2.9999999999999987</v>
      </c>
      <c r="I43">
        <v>0</v>
      </c>
      <c r="J43" s="4">
        <v>-0.99999999999999989</v>
      </c>
    </row>
    <row r="44" spans="1:10" ht="15" thickBot="1" x14ac:dyDescent="0.35">
      <c r="A44">
        <v>43</v>
      </c>
      <c r="B44">
        <v>3.0000000000000009</v>
      </c>
      <c r="C44">
        <v>0.62500000000000078</v>
      </c>
      <c r="D44">
        <v>1.875</v>
      </c>
      <c r="E44">
        <v>0.49999999999999906</v>
      </c>
      <c r="F44">
        <v>-0.75000000000000078</v>
      </c>
      <c r="G44">
        <v>-0.75000000000000078</v>
      </c>
      <c r="H44">
        <v>0.49999999999999906</v>
      </c>
      <c r="I44">
        <v>0</v>
      </c>
      <c r="J44" s="4">
        <v>0</v>
      </c>
    </row>
    <row r="45" spans="1:10" ht="15" thickBot="1" x14ac:dyDescent="0.35">
      <c r="A45">
        <v>44</v>
      </c>
      <c r="B45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 s="4">
        <v>0</v>
      </c>
    </row>
    <row r="46" spans="1:10" ht="15" thickBot="1" x14ac:dyDescent="0.35">
      <c r="A46">
        <v>45</v>
      </c>
      <c r="B46">
        <v>1.5000000000000013</v>
      </c>
      <c r="C46">
        <v>-0.62500000000000044</v>
      </c>
      <c r="D46">
        <v>-0.37500000000000122</v>
      </c>
      <c r="E46">
        <v>4.9999999999999973</v>
      </c>
      <c r="F46">
        <v>4.7499999999999991</v>
      </c>
      <c r="G46">
        <v>3.2499999999999982</v>
      </c>
      <c r="H46">
        <v>-5.7020947261057892E-16</v>
      </c>
      <c r="I46">
        <v>0</v>
      </c>
      <c r="J46" s="4">
        <v>-0.50000000000000044</v>
      </c>
    </row>
    <row r="47" spans="1:10" ht="15" thickBot="1" x14ac:dyDescent="0.35">
      <c r="A47">
        <v>46</v>
      </c>
      <c r="B47">
        <v>5.4999999999999991</v>
      </c>
      <c r="C47">
        <v>0.62499999999999989</v>
      </c>
      <c r="D47">
        <v>0.37499999999999994</v>
      </c>
      <c r="E47">
        <v>2.6400818509446132E-17</v>
      </c>
      <c r="F47">
        <v>0.25000000000000006</v>
      </c>
      <c r="G47">
        <v>-0.25000000000000017</v>
      </c>
      <c r="H47">
        <v>-1.0608548327638677E-16</v>
      </c>
      <c r="I47">
        <v>0</v>
      </c>
      <c r="J47" s="4">
        <v>0.49999999999999978</v>
      </c>
    </row>
    <row r="48" spans="1:10" ht="15" thickBot="1" x14ac:dyDescent="0.35">
      <c r="A48">
        <v>47</v>
      </c>
      <c r="B48">
        <v>5.5000000000000018</v>
      </c>
      <c r="C48">
        <v>-1.0000000000000011</v>
      </c>
      <c r="D48">
        <v>-0.50000000000000144</v>
      </c>
      <c r="E48">
        <v>0.50000000000000011</v>
      </c>
      <c r="F48">
        <v>-0.99999999999999944</v>
      </c>
      <c r="G48">
        <v>0.50000000000000033</v>
      </c>
      <c r="H48">
        <v>0.50000000000000011</v>
      </c>
      <c r="I48">
        <v>0</v>
      </c>
      <c r="J48" s="4">
        <v>-0.50000000000000033</v>
      </c>
    </row>
    <row r="49" spans="1:10" ht="15" thickBot="1" x14ac:dyDescent="0.35">
      <c r="A49">
        <v>48</v>
      </c>
      <c r="B49">
        <v>5</v>
      </c>
      <c r="C49">
        <v>-1.7485847502572364E-16</v>
      </c>
      <c r="D49">
        <v>-1.0000000000000002</v>
      </c>
      <c r="E49">
        <v>0.99999999999999978</v>
      </c>
      <c r="F49">
        <v>-1.0000000000000002</v>
      </c>
      <c r="G49">
        <v>2</v>
      </c>
      <c r="H49">
        <v>7.781987735723486E-17</v>
      </c>
      <c r="I49">
        <v>0</v>
      </c>
      <c r="J49" s="4">
        <v>0.99999999999999956</v>
      </c>
    </row>
    <row r="50" spans="1:10" ht="15" thickBot="1" x14ac:dyDescent="0.35">
      <c r="A50">
        <v>49</v>
      </c>
      <c r="B50">
        <v>3</v>
      </c>
      <c r="C50">
        <v>3.0000000000000027</v>
      </c>
      <c r="D50">
        <v>3.0000000000000018</v>
      </c>
      <c r="E50">
        <v>0.99999999999999911</v>
      </c>
      <c r="F50">
        <v>-1.0000000000000016</v>
      </c>
      <c r="G50">
        <v>-1.0000000000000022</v>
      </c>
      <c r="H50">
        <v>-1.6973677324221884E-15</v>
      </c>
      <c r="I50">
        <v>0</v>
      </c>
      <c r="J50" s="4">
        <v>0.99999999999999989</v>
      </c>
    </row>
    <row r="51" spans="1:10" ht="15" thickBot="1" x14ac:dyDescent="0.35">
      <c r="A51">
        <v>50</v>
      </c>
      <c r="B51">
        <v>6.9999999999999991</v>
      </c>
      <c r="C51">
        <v>0.25000000000000194</v>
      </c>
      <c r="D51">
        <v>-1.2499999999999976</v>
      </c>
      <c r="E51">
        <v>-0.99999999999999978</v>
      </c>
      <c r="F51">
        <v>-1.5000000000000016</v>
      </c>
      <c r="G51">
        <v>0.49999999999999961</v>
      </c>
      <c r="H51">
        <v>-1.0000000000000002</v>
      </c>
      <c r="I51">
        <v>0</v>
      </c>
      <c r="J51" s="4">
        <v>-1.9999999999999984</v>
      </c>
    </row>
    <row r="52" spans="1:10" ht="15" thickBot="1" x14ac:dyDescent="0.35">
      <c r="A52">
        <v>51</v>
      </c>
      <c r="B52">
        <v>6.0000000000000027</v>
      </c>
      <c r="C52">
        <v>-1.6250000000000016</v>
      </c>
      <c r="D52">
        <v>-2.8750000000000013</v>
      </c>
      <c r="E52">
        <v>2.5000000000000004</v>
      </c>
      <c r="F52">
        <v>-0.24999999999999922</v>
      </c>
      <c r="G52">
        <v>1.7500000000000004</v>
      </c>
      <c r="H52">
        <v>1.4999999999999998</v>
      </c>
      <c r="I52">
        <v>0</v>
      </c>
      <c r="J52" s="4">
        <v>-1.0000000000000009</v>
      </c>
    </row>
    <row r="53" spans="1:10" ht="15" thickBot="1" x14ac:dyDescent="0.35">
      <c r="A53">
        <v>52</v>
      </c>
      <c r="B53">
        <v>6.5</v>
      </c>
      <c r="C53">
        <v>-1.6250000000000007</v>
      </c>
      <c r="D53">
        <v>-1.3750000000000011</v>
      </c>
      <c r="E53">
        <v>1</v>
      </c>
      <c r="F53">
        <v>-0.24999999999999978</v>
      </c>
      <c r="G53">
        <v>1.2500000000000002</v>
      </c>
      <c r="H53">
        <v>1.0000000000000004</v>
      </c>
      <c r="I53">
        <v>0</v>
      </c>
      <c r="J53" s="4">
        <v>0.50000000000000011</v>
      </c>
    </row>
    <row r="54" spans="1:10" ht="15" thickBot="1" x14ac:dyDescent="0.35">
      <c r="A54">
        <v>53</v>
      </c>
      <c r="B54">
        <v>3.5000000000000004</v>
      </c>
      <c r="C54">
        <v>1.6250000000000007</v>
      </c>
      <c r="D54">
        <v>1.3750000000000004</v>
      </c>
      <c r="E54">
        <v>0.99999999999999911</v>
      </c>
      <c r="F54">
        <v>-2.7500000000000009</v>
      </c>
      <c r="G54">
        <v>0.749999999999999</v>
      </c>
      <c r="H54">
        <v>-7.425983829347074E-16</v>
      </c>
      <c r="I54">
        <v>0</v>
      </c>
      <c r="J54" s="4">
        <v>0.49999999999999994</v>
      </c>
    </row>
    <row r="55" spans="1:10" ht="15" thickBot="1" x14ac:dyDescent="0.35">
      <c r="A55">
        <v>54</v>
      </c>
      <c r="B55">
        <v>6.5</v>
      </c>
      <c r="C55">
        <v>-1.1949601791827858E-16</v>
      </c>
      <c r="D55">
        <v>0.49999999999999978</v>
      </c>
      <c r="E55">
        <v>0.49999999999999978</v>
      </c>
      <c r="F55">
        <v>2.2759805439914768E-17</v>
      </c>
      <c r="G55">
        <v>-0.50000000000000011</v>
      </c>
      <c r="H55">
        <v>-0.50000000000000033</v>
      </c>
      <c r="I55">
        <v>0</v>
      </c>
      <c r="J55" s="4">
        <v>0.49999999999999961</v>
      </c>
    </row>
    <row r="56" spans="1:10" ht="15" thickBot="1" x14ac:dyDescent="0.35">
      <c r="A56">
        <v>55</v>
      </c>
      <c r="B56">
        <v>6.0000000000000009</v>
      </c>
      <c r="C56">
        <v>-1.6250000000000018</v>
      </c>
      <c r="D56">
        <v>-1.8750000000000016</v>
      </c>
      <c r="E56">
        <v>1.5</v>
      </c>
      <c r="F56">
        <v>1.7500000000000004</v>
      </c>
      <c r="G56">
        <v>2.7500000000000004</v>
      </c>
      <c r="H56">
        <v>0.50000000000000056</v>
      </c>
      <c r="I56">
        <v>0</v>
      </c>
      <c r="J56" s="4">
        <v>-6.3603777714809761E-16</v>
      </c>
    </row>
    <row r="57" spans="1:10" ht="15" thickBot="1" x14ac:dyDescent="0.35">
      <c r="A57">
        <v>56</v>
      </c>
      <c r="B57">
        <v>5.5</v>
      </c>
      <c r="C57">
        <v>1.3750000000000004</v>
      </c>
      <c r="D57">
        <v>0.62500000000000033</v>
      </c>
      <c r="E57">
        <v>-1.5840491105667679E-16</v>
      </c>
      <c r="F57">
        <v>-1.2500000000000002</v>
      </c>
      <c r="G57">
        <v>-0.75000000000000056</v>
      </c>
      <c r="H57">
        <v>-1.0000000000000002</v>
      </c>
      <c r="I57">
        <v>0</v>
      </c>
      <c r="J57" s="4">
        <v>-0.49999999999999994</v>
      </c>
    </row>
    <row r="58" spans="1:10" ht="15" thickBot="1" x14ac:dyDescent="0.35">
      <c r="A58">
        <v>57</v>
      </c>
      <c r="B58">
        <v>2.9999999999999996</v>
      </c>
      <c r="C58">
        <v>1.3750000000000018</v>
      </c>
      <c r="D58">
        <v>1.1250000000000013</v>
      </c>
      <c r="E58">
        <v>0.49999999999999928</v>
      </c>
      <c r="F58">
        <v>0.74999999999999856</v>
      </c>
      <c r="G58">
        <v>-1.2500000000000013</v>
      </c>
      <c r="H58">
        <v>0.49999999999999928</v>
      </c>
      <c r="I58">
        <v>0</v>
      </c>
      <c r="J58" s="4">
        <v>1.113066110009171E-15</v>
      </c>
    </row>
    <row r="59" spans="1:10" ht="15" thickBot="1" x14ac:dyDescent="0.35">
      <c r="A59">
        <v>58</v>
      </c>
      <c r="B59">
        <v>6.0000000000000027</v>
      </c>
      <c r="C59">
        <v>-1.2500000000000013</v>
      </c>
      <c r="D59">
        <v>-1.7500000000000027</v>
      </c>
      <c r="E59">
        <v>2.9999999999999991</v>
      </c>
      <c r="F59">
        <v>-2.4999999999999991</v>
      </c>
      <c r="G59">
        <v>1.5000000000000002</v>
      </c>
      <c r="H59">
        <v>-1.0000000000000002</v>
      </c>
      <c r="I59">
        <v>0</v>
      </c>
      <c r="J59" s="4">
        <v>-2.0000000000000004</v>
      </c>
    </row>
    <row r="60" spans="1:10" ht="15" thickBot="1" x14ac:dyDescent="0.35">
      <c r="A60">
        <v>59</v>
      </c>
      <c r="B60">
        <v>6.5000000000000036</v>
      </c>
      <c r="C60">
        <v>-3.7500000000000044</v>
      </c>
      <c r="D60">
        <v>-3.7500000000000049</v>
      </c>
      <c r="E60">
        <v>3.5</v>
      </c>
      <c r="F60">
        <v>-1.4999999999999969</v>
      </c>
      <c r="G60">
        <v>4.0000000000000009</v>
      </c>
      <c r="H60">
        <v>-0.49999999999999872</v>
      </c>
      <c r="I60">
        <v>0</v>
      </c>
      <c r="J60" s="4">
        <v>0.49999999999999767</v>
      </c>
    </row>
    <row r="61" spans="1:10" ht="15" thickBot="1" x14ac:dyDescent="0.35">
      <c r="A61">
        <v>60</v>
      </c>
      <c r="B61">
        <v>3.0000000000000009</v>
      </c>
      <c r="C61">
        <v>0.74999999999999967</v>
      </c>
      <c r="D61">
        <v>0.249999999999999</v>
      </c>
      <c r="E61">
        <v>1.9999999999999996</v>
      </c>
      <c r="F61">
        <v>2.5000000000000004</v>
      </c>
      <c r="G61">
        <v>2.5</v>
      </c>
      <c r="H61">
        <v>0.99999999999999978</v>
      </c>
      <c r="I61">
        <v>0</v>
      </c>
      <c r="J61" s="4">
        <v>0.99999999999999922</v>
      </c>
    </row>
    <row r="62" spans="1:10" ht="15" thickBot="1" x14ac:dyDescent="0.35">
      <c r="A62">
        <v>61</v>
      </c>
      <c r="B62">
        <v>6</v>
      </c>
      <c r="C62">
        <v>-1.0000000000000011</v>
      </c>
      <c r="D62">
        <v>-1.0000000000000013</v>
      </c>
      <c r="E62">
        <v>1.9999999999999996</v>
      </c>
      <c r="F62">
        <v>1.0000000000000004</v>
      </c>
      <c r="G62">
        <v>2.0000000000000004</v>
      </c>
      <c r="H62">
        <v>2.6521370819096693E-17</v>
      </c>
      <c r="I62">
        <v>0</v>
      </c>
      <c r="J62" s="4">
        <v>-5.5653305500458549E-16</v>
      </c>
    </row>
    <row r="63" spans="1:10" ht="15" thickBot="1" x14ac:dyDescent="0.35">
      <c r="A63">
        <v>62</v>
      </c>
      <c r="B63">
        <v>6</v>
      </c>
      <c r="C63">
        <v>-1.0000000000000011</v>
      </c>
      <c r="D63">
        <v>-1.0000000000000013</v>
      </c>
      <c r="E63">
        <v>1.9999999999999996</v>
      </c>
      <c r="F63">
        <v>1.0000000000000004</v>
      </c>
      <c r="G63">
        <v>2.0000000000000004</v>
      </c>
      <c r="H63">
        <v>2.6521370819096693E-17</v>
      </c>
      <c r="I63">
        <v>0</v>
      </c>
      <c r="J63" s="4">
        <v>-5.5653305500458549E-16</v>
      </c>
    </row>
    <row r="64" spans="1:10" ht="15" thickBot="1" x14ac:dyDescent="0.35">
      <c r="A64">
        <v>63</v>
      </c>
      <c r="B64">
        <v>6</v>
      </c>
      <c r="C64">
        <v>-1.0000000000000011</v>
      </c>
      <c r="D64">
        <v>-1.0000000000000013</v>
      </c>
      <c r="E64">
        <v>1.9999999999999996</v>
      </c>
      <c r="F64">
        <v>1.0000000000000004</v>
      </c>
      <c r="G64">
        <v>2.0000000000000004</v>
      </c>
      <c r="H64">
        <v>2.6521370819096693E-17</v>
      </c>
      <c r="I64">
        <v>0</v>
      </c>
      <c r="J64" s="9">
        <v>-5.5653305500458549E-16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CE06A-1091-4C97-864C-33A80AEF55D1}">
  <sheetPr codeName="Sheet4"/>
  <dimension ref="A1:S37"/>
  <sheetViews>
    <sheetView workbookViewId="0">
      <selection activeCell="D33" sqref="D33"/>
    </sheetView>
  </sheetViews>
  <sheetFormatPr defaultColWidth="8.77734375" defaultRowHeight="14.4" x14ac:dyDescent="0.3"/>
  <cols>
    <col min="2" max="2" width="12.109375" customWidth="1"/>
    <col min="8" max="8" width="16.33203125" customWidth="1"/>
    <col min="12" max="12" width="14.44140625" customWidth="1"/>
    <col min="13" max="13" width="13.33203125" customWidth="1"/>
    <col min="18" max="18" width="13.33203125" customWidth="1"/>
  </cols>
  <sheetData>
    <row r="1" spans="1:19" x14ac:dyDescent="0.3">
      <c r="A1" t="s">
        <v>11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9</v>
      </c>
      <c r="I1" t="s">
        <v>10</v>
      </c>
    </row>
    <row r="2" spans="1:19" x14ac:dyDescent="0.3">
      <c r="A2">
        <v>1</v>
      </c>
      <c r="B2">
        <v>0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6</v>
      </c>
    </row>
    <row r="3" spans="1:19" x14ac:dyDescent="0.3">
      <c r="A3">
        <v>2</v>
      </c>
      <c r="B3">
        <v>0</v>
      </c>
      <c r="C3">
        <v>1</v>
      </c>
      <c r="D3">
        <v>1</v>
      </c>
      <c r="E3">
        <v>0</v>
      </c>
      <c r="F3">
        <v>0</v>
      </c>
      <c r="G3">
        <v>1</v>
      </c>
      <c r="H3">
        <v>0</v>
      </c>
      <c r="I3">
        <v>6</v>
      </c>
    </row>
    <row r="4" spans="1:19" x14ac:dyDescent="0.3">
      <c r="A4">
        <v>3</v>
      </c>
      <c r="B4">
        <v>0</v>
      </c>
      <c r="C4">
        <v>1</v>
      </c>
      <c r="D4">
        <v>0</v>
      </c>
      <c r="E4">
        <v>1</v>
      </c>
      <c r="F4">
        <v>0</v>
      </c>
      <c r="G4">
        <v>0</v>
      </c>
      <c r="H4">
        <v>0</v>
      </c>
      <c r="I4">
        <v>6</v>
      </c>
    </row>
    <row r="5" spans="1:19" x14ac:dyDescent="0.3">
      <c r="A5">
        <v>4</v>
      </c>
      <c r="B5">
        <v>0</v>
      </c>
      <c r="C5">
        <v>1</v>
      </c>
      <c r="D5">
        <v>0</v>
      </c>
      <c r="E5">
        <v>0</v>
      </c>
      <c r="F5">
        <v>1</v>
      </c>
      <c r="G5">
        <v>0</v>
      </c>
      <c r="H5">
        <v>1</v>
      </c>
      <c r="I5">
        <v>5</v>
      </c>
    </row>
    <row r="6" spans="1:19" x14ac:dyDescent="0.3">
      <c r="A6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1</v>
      </c>
      <c r="I6">
        <v>6</v>
      </c>
    </row>
    <row r="7" spans="1:19" x14ac:dyDescent="0.3">
      <c r="A7">
        <v>6</v>
      </c>
      <c r="B7">
        <v>1</v>
      </c>
      <c r="C7">
        <v>0</v>
      </c>
      <c r="D7">
        <v>0</v>
      </c>
      <c r="E7">
        <v>1</v>
      </c>
      <c r="F7">
        <v>0</v>
      </c>
      <c r="G7">
        <v>0</v>
      </c>
      <c r="H7">
        <v>1</v>
      </c>
      <c r="I7">
        <v>6</v>
      </c>
    </row>
    <row r="8" spans="1:19" x14ac:dyDescent="0.3">
      <c r="A8">
        <v>7</v>
      </c>
      <c r="B8">
        <v>1</v>
      </c>
      <c r="C8">
        <v>0</v>
      </c>
      <c r="D8">
        <v>0</v>
      </c>
      <c r="E8">
        <v>0</v>
      </c>
      <c r="F8">
        <v>0</v>
      </c>
      <c r="G8">
        <v>1</v>
      </c>
      <c r="H8">
        <v>0</v>
      </c>
      <c r="I8">
        <v>6</v>
      </c>
    </row>
    <row r="9" spans="1:19" x14ac:dyDescent="0.3">
      <c r="A9">
        <v>8</v>
      </c>
      <c r="B9">
        <v>1</v>
      </c>
      <c r="C9">
        <v>0</v>
      </c>
      <c r="D9">
        <v>0</v>
      </c>
      <c r="E9">
        <v>0</v>
      </c>
      <c r="F9">
        <v>1</v>
      </c>
      <c r="G9">
        <v>0</v>
      </c>
      <c r="H9">
        <v>0</v>
      </c>
      <c r="I9">
        <v>7</v>
      </c>
    </row>
    <row r="10" spans="1:19" x14ac:dyDescent="0.3">
      <c r="A10">
        <v>9</v>
      </c>
      <c r="B10">
        <v>1</v>
      </c>
      <c r="C10">
        <v>0</v>
      </c>
      <c r="D10">
        <v>1</v>
      </c>
      <c r="E10">
        <v>0</v>
      </c>
      <c r="F10">
        <v>0</v>
      </c>
      <c r="G10">
        <v>0</v>
      </c>
      <c r="H10">
        <v>0</v>
      </c>
      <c r="I10">
        <v>5</v>
      </c>
    </row>
    <row r="13" spans="1:19" ht="15" thickBot="1" x14ac:dyDescent="0.35"/>
    <row r="14" spans="1:19" x14ac:dyDescent="0.3">
      <c r="A14" t="s">
        <v>12</v>
      </c>
      <c r="L14" s="10"/>
      <c r="M14" s="10" t="s">
        <v>2</v>
      </c>
      <c r="N14" s="10" t="s">
        <v>3</v>
      </c>
      <c r="O14" s="10" t="s">
        <v>4</v>
      </c>
      <c r="P14" s="10" t="s">
        <v>5</v>
      </c>
      <c r="Q14" s="10" t="s">
        <v>6</v>
      </c>
      <c r="R14" s="10" t="s">
        <v>7</v>
      </c>
      <c r="S14" s="10" t="s">
        <v>9</v>
      </c>
    </row>
    <row r="15" spans="1:19" ht="15" thickBot="1" x14ac:dyDescent="0.35">
      <c r="L15" t="s">
        <v>2</v>
      </c>
      <c r="M15">
        <v>1</v>
      </c>
    </row>
    <row r="16" spans="1:19" x14ac:dyDescent="0.3">
      <c r="A16" s="11" t="s">
        <v>14</v>
      </c>
      <c r="B16" s="11"/>
      <c r="L16" t="s">
        <v>3</v>
      </c>
      <c r="M16">
        <v>-0.79999999999999982</v>
      </c>
      <c r="N16">
        <v>1</v>
      </c>
    </row>
    <row r="17" spans="1:19" x14ac:dyDescent="0.3">
      <c r="A17" t="s">
        <v>15</v>
      </c>
      <c r="B17">
        <v>0.78139421745807891</v>
      </c>
      <c r="L17" s="12" t="s">
        <v>4</v>
      </c>
      <c r="M17">
        <v>5.9761430466719709E-2</v>
      </c>
      <c r="N17">
        <v>5.9761430466719709E-2</v>
      </c>
      <c r="O17">
        <v>1</v>
      </c>
    </row>
    <row r="18" spans="1:19" x14ac:dyDescent="0.3">
      <c r="A18" t="s">
        <v>16</v>
      </c>
      <c r="B18">
        <v>0.61057692307692346</v>
      </c>
      <c r="L18" t="s">
        <v>5</v>
      </c>
      <c r="M18">
        <v>5.9761430466719709E-2</v>
      </c>
      <c r="N18">
        <v>5.9761430466719709E-2</v>
      </c>
      <c r="O18">
        <v>-0.28571428571428564</v>
      </c>
      <c r="P18">
        <v>1</v>
      </c>
    </row>
    <row r="19" spans="1:19" x14ac:dyDescent="0.3">
      <c r="A19" t="s">
        <v>17</v>
      </c>
      <c r="B19">
        <v>-2.1153846153846123</v>
      </c>
      <c r="L19" t="s">
        <v>6</v>
      </c>
      <c r="M19">
        <v>5.9761430466719709E-2</v>
      </c>
      <c r="N19">
        <v>5.9761430466719709E-2</v>
      </c>
      <c r="O19">
        <v>-0.28571428571428564</v>
      </c>
      <c r="P19">
        <v>-0.28571428571428564</v>
      </c>
      <c r="Q19">
        <v>1</v>
      </c>
    </row>
    <row r="20" spans="1:19" x14ac:dyDescent="0.3">
      <c r="A20" t="s">
        <v>18</v>
      </c>
      <c r="B20">
        <v>1.0606601717798207</v>
      </c>
      <c r="L20" s="12" t="s">
        <v>7</v>
      </c>
      <c r="M20">
        <v>5.9761430466719709E-2</v>
      </c>
      <c r="N20">
        <v>5.9761430466719709E-2</v>
      </c>
      <c r="O20">
        <v>0.35714285714285715</v>
      </c>
      <c r="P20">
        <v>-0.28571428571428564</v>
      </c>
      <c r="Q20">
        <v>-0.28571428571428564</v>
      </c>
      <c r="R20">
        <v>1</v>
      </c>
    </row>
    <row r="21" spans="1:19" ht="15" thickBot="1" x14ac:dyDescent="0.35">
      <c r="A21" s="4" t="s">
        <v>19</v>
      </c>
      <c r="B21" s="4">
        <v>9</v>
      </c>
      <c r="L21" s="4" t="s">
        <v>9</v>
      </c>
      <c r="M21" s="4">
        <v>-0.15811388300841897</v>
      </c>
      <c r="N21" s="4">
        <v>-0.15811388300841903</v>
      </c>
      <c r="O21" s="4">
        <v>-0.3779644730092272</v>
      </c>
      <c r="P21" s="4">
        <v>0.1889822365046136</v>
      </c>
      <c r="Q21" s="4">
        <v>0.18898223650461365</v>
      </c>
      <c r="R21" s="4">
        <v>-0.3779644730092272</v>
      </c>
      <c r="S21" s="4">
        <v>1</v>
      </c>
    </row>
    <row r="23" spans="1:19" ht="15" thickBot="1" x14ac:dyDescent="0.35">
      <c r="A23" t="s">
        <v>20</v>
      </c>
    </row>
    <row r="24" spans="1:19" x14ac:dyDescent="0.3">
      <c r="A24" s="10"/>
      <c r="B24" s="10" t="s">
        <v>21</v>
      </c>
      <c r="C24" s="10" t="s">
        <v>22</v>
      </c>
      <c r="D24" s="10" t="s">
        <v>23</v>
      </c>
      <c r="E24" s="10" t="s">
        <v>24</v>
      </c>
      <c r="F24" s="10" t="s">
        <v>25</v>
      </c>
    </row>
    <row r="25" spans="1:19" x14ac:dyDescent="0.3">
      <c r="A25" t="s">
        <v>26</v>
      </c>
      <c r="B25">
        <v>7</v>
      </c>
      <c r="C25">
        <v>1.7638888888888904</v>
      </c>
      <c r="D25">
        <v>0.2519841269841272</v>
      </c>
      <c r="E25">
        <v>0.22398589065255772</v>
      </c>
      <c r="F25">
        <v>0.92752818864426301</v>
      </c>
    </row>
    <row r="26" spans="1:19" x14ac:dyDescent="0.3">
      <c r="A26" t="s">
        <v>27</v>
      </c>
      <c r="B26">
        <v>1</v>
      </c>
      <c r="C26">
        <v>1.1249999999999989</v>
      </c>
      <c r="D26">
        <v>1.1249999999999989</v>
      </c>
    </row>
    <row r="27" spans="1:19" ht="15" thickBot="1" x14ac:dyDescent="0.35">
      <c r="A27" s="4" t="s">
        <v>28</v>
      </c>
      <c r="B27" s="4">
        <v>8</v>
      </c>
      <c r="C27" s="4">
        <v>2.8888888888888893</v>
      </c>
      <c r="D27" s="4"/>
      <c r="E27" s="4"/>
      <c r="F27" s="4"/>
    </row>
    <row r="28" spans="1:19" ht="15" thickBot="1" x14ac:dyDescent="0.35"/>
    <row r="29" spans="1:19" x14ac:dyDescent="0.3">
      <c r="A29" s="10"/>
      <c r="B29" s="10" t="s">
        <v>29</v>
      </c>
      <c r="C29" s="10" t="s">
        <v>18</v>
      </c>
      <c r="D29" s="10" t="s">
        <v>30</v>
      </c>
      <c r="E29" s="10" t="s">
        <v>31</v>
      </c>
      <c r="F29" s="10" t="s">
        <v>32</v>
      </c>
      <c r="G29" s="10" t="s">
        <v>33</v>
      </c>
      <c r="H29" s="10" t="s">
        <v>34</v>
      </c>
      <c r="I29" s="10" t="s">
        <v>35</v>
      </c>
    </row>
    <row r="30" spans="1:19" x14ac:dyDescent="0.3">
      <c r="A30" t="s">
        <v>1</v>
      </c>
      <c r="B30">
        <v>6.9999999999999991</v>
      </c>
      <c r="C30">
        <v>1.4999999999999984</v>
      </c>
      <c r="D30">
        <v>4.6666666666666705</v>
      </c>
      <c r="E30">
        <v>0.1343861897445788</v>
      </c>
      <c r="F30">
        <v>-12.059307104262039</v>
      </c>
      <c r="G30">
        <v>26.059307104262039</v>
      </c>
      <c r="H30">
        <v>-12.059307104262039</v>
      </c>
      <c r="I30">
        <v>26.059307104262039</v>
      </c>
    </row>
    <row r="31" spans="1:19" x14ac:dyDescent="0.3">
      <c r="A31" t="s">
        <v>2</v>
      </c>
      <c r="B31">
        <v>-1.1250000000000007</v>
      </c>
      <c r="C31">
        <v>1.7984368212422699</v>
      </c>
      <c r="D31">
        <v>-0.62554324217122459</v>
      </c>
      <c r="E31">
        <v>0.64413599873538885</v>
      </c>
      <c r="F31">
        <v>-23.976306455779515</v>
      </c>
      <c r="G31">
        <v>21.726306455779515</v>
      </c>
      <c r="H31">
        <v>-23.976306455779515</v>
      </c>
      <c r="I31">
        <v>21.726306455779515</v>
      </c>
    </row>
    <row r="32" spans="1:19" x14ac:dyDescent="0.3">
      <c r="A32" t="s">
        <v>3</v>
      </c>
      <c r="B32">
        <v>-1.3750000000000004</v>
      </c>
      <c r="C32">
        <v>1.7984368212422699</v>
      </c>
      <c r="D32">
        <v>-0.76455285154260766</v>
      </c>
      <c r="E32">
        <v>0.58444640484205035</v>
      </c>
      <c r="F32">
        <v>-24.226306455779515</v>
      </c>
      <c r="G32">
        <v>21.476306455779515</v>
      </c>
      <c r="H32">
        <v>-24.226306455779515</v>
      </c>
      <c r="I32">
        <v>21.476306455779515</v>
      </c>
    </row>
    <row r="33" spans="1:9" x14ac:dyDescent="0.3">
      <c r="A33" t="s">
        <v>4</v>
      </c>
      <c r="B33">
        <v>-0.49999999999999928</v>
      </c>
      <c r="C33">
        <v>1.0606601717798207</v>
      </c>
      <c r="D33">
        <v>-0.47140452079103123</v>
      </c>
      <c r="E33">
        <v>0.71956220199245668</v>
      </c>
      <c r="F33">
        <v>-13.976965298140636</v>
      </c>
      <c r="G33">
        <v>12.976965298140636</v>
      </c>
      <c r="H33">
        <v>-13.976965298140636</v>
      </c>
      <c r="I33">
        <v>12.976965298140636</v>
      </c>
    </row>
    <row r="34" spans="1:9" x14ac:dyDescent="0.3">
      <c r="A34" t="s">
        <v>5</v>
      </c>
      <c r="B34">
        <v>0.75000000000000044</v>
      </c>
      <c r="C34">
        <v>1.2990381056766578</v>
      </c>
      <c r="D34">
        <v>0.57735026918962618</v>
      </c>
      <c r="E34">
        <v>0.66666666666666652</v>
      </c>
      <c r="F34">
        <v>-15.755844130820169</v>
      </c>
      <c r="G34">
        <v>17.255844130820169</v>
      </c>
      <c r="H34">
        <v>-15.755844130820169</v>
      </c>
      <c r="I34">
        <v>17.255844130820169</v>
      </c>
    </row>
    <row r="35" spans="1:9" x14ac:dyDescent="0.3">
      <c r="A35" t="s">
        <v>6</v>
      </c>
      <c r="B35">
        <v>0.75000000000000056</v>
      </c>
      <c r="C35">
        <v>1.2990381056766576</v>
      </c>
      <c r="D35">
        <v>0.5773502691896264</v>
      </c>
      <c r="E35">
        <v>0.66666666666666652</v>
      </c>
      <c r="F35">
        <v>-15.755844130820165</v>
      </c>
      <c r="G35">
        <v>17.255844130820165</v>
      </c>
      <c r="H35">
        <v>-15.755844130820165</v>
      </c>
      <c r="I35">
        <v>17.255844130820165</v>
      </c>
    </row>
    <row r="36" spans="1:9" x14ac:dyDescent="0.3">
      <c r="A36" t="s">
        <v>7</v>
      </c>
      <c r="B36">
        <v>0.50000000000000033</v>
      </c>
      <c r="C36">
        <v>1.0606601717798207</v>
      </c>
      <c r="D36">
        <v>0.47140452079103223</v>
      </c>
      <c r="E36">
        <v>0.71956220199245624</v>
      </c>
      <c r="F36">
        <v>-12.976965298140636</v>
      </c>
      <c r="G36">
        <v>13.976965298140636</v>
      </c>
      <c r="H36">
        <v>-12.976965298140636</v>
      </c>
      <c r="I36">
        <v>13.976965298140636</v>
      </c>
    </row>
    <row r="37" spans="1:9" ht="15" thickBot="1" x14ac:dyDescent="0.35">
      <c r="A37" s="4" t="s">
        <v>9</v>
      </c>
      <c r="B37" s="4">
        <v>-0.99999999999999989</v>
      </c>
      <c r="C37" s="4">
        <v>1.0606601717798205</v>
      </c>
      <c r="D37" s="4">
        <v>-0.94280904158206391</v>
      </c>
      <c r="E37" s="4">
        <v>0.518734926019077</v>
      </c>
      <c r="F37" s="4">
        <v>-14.476965298140634</v>
      </c>
      <c r="G37" s="4">
        <v>12.476965298140634</v>
      </c>
      <c r="H37" s="4">
        <v>-14.476965298140634</v>
      </c>
      <c r="I37" s="4">
        <v>12.476965298140634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C6B72-AE8C-4E63-B4C2-344985C95938}">
  <dimension ref="A1:I64"/>
  <sheetViews>
    <sheetView topLeftCell="A37" workbookViewId="0">
      <selection activeCell="M22" sqref="M22"/>
    </sheetView>
  </sheetViews>
  <sheetFormatPr defaultColWidth="8.77734375" defaultRowHeight="14.4" x14ac:dyDescent="0.3"/>
  <cols>
    <col min="1" max="1" width="16.77734375" customWidth="1"/>
    <col min="3" max="3" width="16" customWidth="1"/>
    <col min="6" max="6" width="16.6640625" customWidth="1"/>
    <col min="7" max="7" width="12.44140625" customWidth="1"/>
  </cols>
  <sheetData>
    <row r="1" spans="1:9" x14ac:dyDescent="0.3">
      <c r="A1" t="s">
        <v>46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9</v>
      </c>
    </row>
    <row r="2" spans="1:9" ht="15" thickBot="1" x14ac:dyDescent="0.35">
      <c r="A2">
        <v>1</v>
      </c>
      <c r="B2">
        <v>6.9999999999999991</v>
      </c>
      <c r="C2">
        <v>-1.1250000000000007</v>
      </c>
      <c r="D2">
        <v>-1.3750000000000004</v>
      </c>
      <c r="E2">
        <v>-0.49999999999999928</v>
      </c>
      <c r="F2">
        <v>0.75000000000000044</v>
      </c>
      <c r="G2">
        <v>0.75000000000000056</v>
      </c>
      <c r="H2">
        <v>0.50000000000000033</v>
      </c>
      <c r="I2" s="4">
        <v>-0.99999999999999989</v>
      </c>
    </row>
    <row r="3" spans="1:9" ht="15" thickBot="1" x14ac:dyDescent="0.35">
      <c r="A3">
        <v>2</v>
      </c>
      <c r="B3">
        <v>5.5000000000000009</v>
      </c>
      <c r="C3">
        <v>0.62500000000000044</v>
      </c>
      <c r="D3">
        <v>1.3749999999999998</v>
      </c>
      <c r="E3">
        <v>0.99999999999999911</v>
      </c>
      <c r="F3">
        <v>-1.7500000000000011</v>
      </c>
      <c r="G3">
        <v>-0.250000000000001</v>
      </c>
      <c r="H3">
        <v>-1.0000000000000007</v>
      </c>
      <c r="I3" s="4">
        <v>-0.49999999999999978</v>
      </c>
    </row>
    <row r="4" spans="1:9" ht="15" thickBot="1" x14ac:dyDescent="0.35">
      <c r="A4">
        <v>3</v>
      </c>
      <c r="B4">
        <v>3.5000000000000031</v>
      </c>
      <c r="C4">
        <v>-3.7500000000000027</v>
      </c>
      <c r="D4">
        <v>-2.7500000000000044</v>
      </c>
      <c r="E4">
        <v>4.4999999999999991</v>
      </c>
      <c r="F4">
        <v>4.5</v>
      </c>
      <c r="G4">
        <v>6.9999999999999991</v>
      </c>
      <c r="H4">
        <v>1.5</v>
      </c>
      <c r="I4" s="4">
        <v>-0.50000000000000122</v>
      </c>
    </row>
    <row r="5" spans="1:9" ht="15" thickBot="1" x14ac:dyDescent="0.35">
      <c r="A5">
        <v>4</v>
      </c>
      <c r="B5">
        <v>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 s="4">
        <v>0</v>
      </c>
    </row>
    <row r="6" spans="1:9" ht="15" thickBot="1" x14ac:dyDescent="0.35">
      <c r="A6">
        <v>5</v>
      </c>
      <c r="B6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 s="4">
        <v>0</v>
      </c>
    </row>
    <row r="7" spans="1:9" ht="15" thickBot="1" x14ac:dyDescent="0.35">
      <c r="A7">
        <v>6</v>
      </c>
      <c r="B7">
        <v>5</v>
      </c>
      <c r="C7">
        <v>-1.2500000000000009</v>
      </c>
      <c r="D7">
        <v>-2.7500000000000009</v>
      </c>
      <c r="E7">
        <v>1</v>
      </c>
      <c r="F7">
        <v>-1.4999999999999987</v>
      </c>
      <c r="G7">
        <v>-0.49999999999999856</v>
      </c>
      <c r="H7">
        <v>1.0000000000000004</v>
      </c>
      <c r="I7" s="4">
        <v>0.99999999999999956</v>
      </c>
    </row>
    <row r="8" spans="1:9" ht="15" thickBot="1" x14ac:dyDescent="0.35">
      <c r="A8">
        <v>7</v>
      </c>
      <c r="B8">
        <v>3</v>
      </c>
      <c r="C8">
        <v>1.9999999999999996</v>
      </c>
      <c r="D8">
        <v>0</v>
      </c>
      <c r="E8">
        <v>-0.99999999999999933</v>
      </c>
      <c r="F8">
        <v>0.99999999999999978</v>
      </c>
      <c r="G8">
        <v>0.99999999999999922</v>
      </c>
      <c r="H8">
        <v>2.6521370819096691E-16</v>
      </c>
      <c r="I8" s="4">
        <v>0</v>
      </c>
    </row>
    <row r="9" spans="1:9" ht="15" thickBot="1" x14ac:dyDescent="0.35">
      <c r="A9">
        <v>8</v>
      </c>
      <c r="B9">
        <v>5.0000000000000009</v>
      </c>
      <c r="C9">
        <v>0.24999999999999939</v>
      </c>
      <c r="D9">
        <v>0.749999999999999</v>
      </c>
      <c r="E9">
        <v>0.99999999999999911</v>
      </c>
      <c r="F9">
        <v>0.49999999999999972</v>
      </c>
      <c r="G9">
        <v>1.4999999999999993</v>
      </c>
      <c r="H9">
        <v>-3.0499576441961196E-16</v>
      </c>
      <c r="I9" s="4">
        <v>-4.5715215232519518E-16</v>
      </c>
    </row>
    <row r="10" spans="1:9" ht="15" thickBot="1" x14ac:dyDescent="0.35">
      <c r="A10">
        <v>9</v>
      </c>
      <c r="B10">
        <v>6.5000000000000027</v>
      </c>
      <c r="C10">
        <v>-3.6250000000000049</v>
      </c>
      <c r="D10">
        <v>-2.375000000000004</v>
      </c>
      <c r="E10">
        <v>1.0560327403778453E-15</v>
      </c>
      <c r="F10">
        <v>2.7500000000000022</v>
      </c>
      <c r="G10">
        <v>-0.74999999999999778</v>
      </c>
      <c r="H10">
        <v>1.8034532156985753E-15</v>
      </c>
      <c r="I10" s="4">
        <v>-0.50000000000000067</v>
      </c>
    </row>
    <row r="11" spans="1:9" ht="15" thickBot="1" x14ac:dyDescent="0.35">
      <c r="A11">
        <v>10</v>
      </c>
      <c r="B11">
        <v>5</v>
      </c>
      <c r="C11">
        <v>1.1250000000000002</v>
      </c>
      <c r="D11">
        <v>0.37500000000000017</v>
      </c>
      <c r="E11">
        <v>-0.5</v>
      </c>
      <c r="F11">
        <v>-0.75</v>
      </c>
      <c r="G11">
        <v>-0.75000000000000011</v>
      </c>
      <c r="H11">
        <v>-1.5</v>
      </c>
      <c r="I11" s="4">
        <v>-2.5839034696641466E-16</v>
      </c>
    </row>
    <row r="12" spans="1:9" ht="15" thickBot="1" x14ac:dyDescent="0.35">
      <c r="A12">
        <v>11</v>
      </c>
      <c r="B12">
        <v>4.0000000000000009</v>
      </c>
      <c r="C12">
        <v>-0.24999999999999978</v>
      </c>
      <c r="D12">
        <v>-0.74999999999999978</v>
      </c>
      <c r="E12">
        <v>1.2540388791986914E-16</v>
      </c>
      <c r="F12">
        <v>0.5</v>
      </c>
      <c r="G12">
        <v>0.50000000000000011</v>
      </c>
      <c r="H12">
        <v>7.9564112457290076E-17</v>
      </c>
      <c r="I12" s="4">
        <v>1.9876180535878052E-16</v>
      </c>
    </row>
    <row r="13" spans="1:9" ht="15" thickBot="1" x14ac:dyDescent="0.35">
      <c r="A13">
        <v>12</v>
      </c>
      <c r="B13">
        <v>7.5</v>
      </c>
      <c r="C13">
        <v>-0.62499999999999989</v>
      </c>
      <c r="D13">
        <v>-0.37499999999999978</v>
      </c>
      <c r="E13">
        <v>3.9601227764169198E-16</v>
      </c>
      <c r="F13">
        <v>-4.2500000000000009</v>
      </c>
      <c r="G13">
        <v>0.24999999999999992</v>
      </c>
      <c r="H13">
        <v>4.3760261851509544E-16</v>
      </c>
      <c r="I13" s="4">
        <v>-0.49999999999999911</v>
      </c>
    </row>
    <row r="14" spans="1:9" ht="15" thickBot="1" x14ac:dyDescent="0.35">
      <c r="A14">
        <v>13</v>
      </c>
      <c r="B14">
        <v>7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 s="4">
        <v>0</v>
      </c>
    </row>
    <row r="15" spans="1:9" ht="15" thickBot="1" x14ac:dyDescent="0.35">
      <c r="A15">
        <v>14</v>
      </c>
      <c r="B15">
        <v>7.0000000000000009</v>
      </c>
      <c r="C15">
        <v>-1.500000000000002</v>
      </c>
      <c r="D15">
        <v>-4.5000000000000018</v>
      </c>
      <c r="E15">
        <v>1.7952556586423372E-15</v>
      </c>
      <c r="F15">
        <v>3.0000000000000022</v>
      </c>
      <c r="G15">
        <v>3.0000000000000027</v>
      </c>
      <c r="H15">
        <v>2.7051798235478628E-15</v>
      </c>
      <c r="I15" s="4">
        <v>3.1801888857404881E-16</v>
      </c>
    </row>
    <row r="16" spans="1:9" ht="15" thickBot="1" x14ac:dyDescent="0.35">
      <c r="A16">
        <v>15</v>
      </c>
      <c r="B16">
        <v>5.5</v>
      </c>
      <c r="C16">
        <v>-0.62499999999999978</v>
      </c>
      <c r="D16">
        <v>-0.37500000000000039</v>
      </c>
      <c r="E16">
        <v>0.99999999999999956</v>
      </c>
      <c r="F16">
        <v>0.74999999999999967</v>
      </c>
      <c r="G16">
        <v>2.25</v>
      </c>
      <c r="H16">
        <v>-2.2543165196232192E-16</v>
      </c>
      <c r="I16" s="4">
        <v>-0.5</v>
      </c>
    </row>
    <row r="17" spans="1:9" ht="15" thickBot="1" x14ac:dyDescent="0.35">
      <c r="A17">
        <v>16</v>
      </c>
      <c r="B17">
        <v>4.0000000000000027</v>
      </c>
      <c r="C17">
        <v>-1.5000000000000024</v>
      </c>
      <c r="D17">
        <v>-2.5000000000000031</v>
      </c>
      <c r="E17">
        <v>4</v>
      </c>
      <c r="F17">
        <v>3.0000000000000009</v>
      </c>
      <c r="G17">
        <v>4.0000000000000009</v>
      </c>
      <c r="H17">
        <v>1.1669403160402544E-15</v>
      </c>
      <c r="I17" s="4">
        <v>-2.3851416643053663E-16</v>
      </c>
    </row>
    <row r="18" spans="1:9" ht="15" thickBot="1" x14ac:dyDescent="0.35">
      <c r="A18">
        <v>17</v>
      </c>
      <c r="B18">
        <v>4.4999999999999982</v>
      </c>
      <c r="C18">
        <v>1.1249999999999996</v>
      </c>
      <c r="D18">
        <v>-1.1250000000000004</v>
      </c>
      <c r="E18">
        <v>1.0000000000000007</v>
      </c>
      <c r="F18">
        <v>-0.749999999999999</v>
      </c>
      <c r="G18">
        <v>1.7500000000000018</v>
      </c>
      <c r="H18">
        <v>-1.9999999999999987</v>
      </c>
      <c r="I18" s="4">
        <v>0.50000000000000044</v>
      </c>
    </row>
    <row r="19" spans="1:9" ht="15" thickBot="1" x14ac:dyDescent="0.35">
      <c r="A19">
        <v>18</v>
      </c>
      <c r="B19">
        <v>7.4999999999999991</v>
      </c>
      <c r="C19">
        <v>-2.625</v>
      </c>
      <c r="D19">
        <v>-1.3750000000000002</v>
      </c>
      <c r="E19">
        <v>3.1680982211335358E-16</v>
      </c>
      <c r="F19">
        <v>0.75000000000000022</v>
      </c>
      <c r="G19">
        <v>2.2500000000000004</v>
      </c>
      <c r="H19">
        <v>6.89555641296514E-16</v>
      </c>
      <c r="I19" s="4">
        <v>-1.4999999999999993</v>
      </c>
    </row>
    <row r="20" spans="1:9" ht="15" thickBot="1" x14ac:dyDescent="0.35">
      <c r="A20">
        <v>19</v>
      </c>
      <c r="B20">
        <v>6.5000000000000009</v>
      </c>
      <c r="C20">
        <v>-0.750000000000001</v>
      </c>
      <c r="D20">
        <v>-0.75000000000000122</v>
      </c>
      <c r="E20">
        <v>1.5</v>
      </c>
      <c r="F20">
        <v>-0.49999999999999944</v>
      </c>
      <c r="G20">
        <v>1.0000000000000002</v>
      </c>
      <c r="H20">
        <v>-0.49999999999999939</v>
      </c>
      <c r="I20" s="4">
        <v>-0.50000000000000022</v>
      </c>
    </row>
    <row r="21" spans="1:9" ht="15" thickBot="1" x14ac:dyDescent="0.35">
      <c r="A21">
        <v>20</v>
      </c>
      <c r="B21">
        <v>2.0000000000000009</v>
      </c>
      <c r="C21">
        <v>2.75</v>
      </c>
      <c r="D21">
        <v>4.25</v>
      </c>
      <c r="E21">
        <v>0.99999999999999878</v>
      </c>
      <c r="F21">
        <v>-1.5</v>
      </c>
      <c r="G21">
        <v>-0.50000000000000089</v>
      </c>
      <c r="H21">
        <v>-1.0000000000000011</v>
      </c>
      <c r="I21" s="4">
        <v>0.99999999999999878</v>
      </c>
    </row>
    <row r="22" spans="1:9" ht="15" thickBot="1" x14ac:dyDescent="0.35">
      <c r="A22">
        <v>21</v>
      </c>
      <c r="B22">
        <v>6</v>
      </c>
      <c r="C22">
        <v>-1.6250000000000007</v>
      </c>
      <c r="D22">
        <v>-0.87500000000000155</v>
      </c>
      <c r="E22">
        <v>2.4999999999999991</v>
      </c>
      <c r="F22">
        <v>-0.25000000000000022</v>
      </c>
      <c r="G22">
        <v>0.75</v>
      </c>
      <c r="H22">
        <v>-1.4999999999999998</v>
      </c>
      <c r="I22" s="4">
        <v>-0.99999999999999989</v>
      </c>
    </row>
    <row r="23" spans="1:9" ht="15" thickBot="1" x14ac:dyDescent="0.35">
      <c r="A23">
        <v>22</v>
      </c>
      <c r="B23">
        <v>5.5</v>
      </c>
      <c r="C23">
        <v>-0.87500000000000044</v>
      </c>
      <c r="D23">
        <v>-1.1250000000000004</v>
      </c>
      <c r="E23">
        <v>1</v>
      </c>
      <c r="F23">
        <v>1.2500000000000002</v>
      </c>
      <c r="G23">
        <v>0.75</v>
      </c>
      <c r="H23">
        <v>3.712991914673537E-16</v>
      </c>
      <c r="I23" s="4">
        <v>-0.49999999999999978</v>
      </c>
    </row>
    <row r="24" spans="1:9" ht="15" thickBot="1" x14ac:dyDescent="0.35">
      <c r="A24">
        <v>23</v>
      </c>
      <c r="B24">
        <v>6.4999999999999991</v>
      </c>
      <c r="C24">
        <v>-2.25</v>
      </c>
      <c r="D24">
        <v>-3.2500000000000004</v>
      </c>
      <c r="E24">
        <v>0.5</v>
      </c>
      <c r="F24">
        <v>-1.4999999999999989</v>
      </c>
      <c r="G24">
        <v>2.0000000000000013</v>
      </c>
      <c r="H24">
        <v>-0.49999999999999895</v>
      </c>
      <c r="I24" s="4">
        <v>-0.49999999999999944</v>
      </c>
    </row>
    <row r="25" spans="1:9" ht="15" thickBot="1" x14ac:dyDescent="0.35">
      <c r="A25">
        <v>24</v>
      </c>
      <c r="B25">
        <v>5.5</v>
      </c>
      <c r="C25">
        <v>-0.12500000000000053</v>
      </c>
      <c r="D25">
        <v>0.12499999999999906</v>
      </c>
      <c r="E25">
        <v>0.99999999999999933</v>
      </c>
      <c r="F25">
        <v>0.74999999999999967</v>
      </c>
      <c r="G25">
        <v>1.2499999999999993</v>
      </c>
      <c r="H25">
        <v>-2.3206199466709607E-16</v>
      </c>
      <c r="I25" s="4">
        <v>-0.50000000000000011</v>
      </c>
    </row>
    <row r="26" spans="1:9" ht="15" thickBot="1" x14ac:dyDescent="0.35">
      <c r="A26">
        <v>25</v>
      </c>
      <c r="B26">
        <v>1.000000000000002</v>
      </c>
      <c r="C26">
        <v>1.1846681862633941E-16</v>
      </c>
      <c r="D26">
        <v>7.4476024597418191E-17</v>
      </c>
      <c r="E26">
        <v>3.9999999999999973</v>
      </c>
      <c r="F26">
        <v>-1.4566275481545451E-15</v>
      </c>
      <c r="G26">
        <v>5.9999999999999982</v>
      </c>
      <c r="H26">
        <v>-8.1799287607937972E-16</v>
      </c>
      <c r="I26" s="4">
        <v>-8.3479958250687813E-16</v>
      </c>
    </row>
    <row r="27" spans="1:9" ht="15" thickBot="1" x14ac:dyDescent="0.35">
      <c r="A27">
        <v>26</v>
      </c>
      <c r="B27">
        <v>9</v>
      </c>
      <c r="C27">
        <v>-3.6250000000000013</v>
      </c>
      <c r="D27">
        <v>-4.875</v>
      </c>
      <c r="E27">
        <v>0.50000000000000078</v>
      </c>
      <c r="F27">
        <v>2.7500000000000009</v>
      </c>
      <c r="G27">
        <v>-0.24999999999999831</v>
      </c>
      <c r="H27">
        <v>0.50000000000000122</v>
      </c>
      <c r="I27" s="4">
        <v>-1.9999999999999991</v>
      </c>
    </row>
    <row r="28" spans="1:9" ht="15" thickBot="1" x14ac:dyDescent="0.35">
      <c r="A28">
        <v>27</v>
      </c>
      <c r="B28">
        <v>5.4999999999999991</v>
      </c>
      <c r="C28">
        <v>2.0771509446240278E-16</v>
      </c>
      <c r="D28">
        <v>0.50000000000000022</v>
      </c>
      <c r="E28">
        <v>-0.5</v>
      </c>
      <c r="F28">
        <v>1.1379902719957383E-16</v>
      </c>
      <c r="G28">
        <v>-0.49999999999999989</v>
      </c>
      <c r="H28">
        <v>0.5</v>
      </c>
      <c r="I28" s="4">
        <v>0.49999999999999994</v>
      </c>
    </row>
    <row r="29" spans="1:9" ht="15" thickBot="1" x14ac:dyDescent="0.35">
      <c r="A29">
        <v>28</v>
      </c>
      <c r="B29">
        <v>4.9999999999999982</v>
      </c>
      <c r="C29">
        <v>-0.62500000000000044</v>
      </c>
      <c r="D29">
        <v>0.12500000000000008</v>
      </c>
      <c r="E29">
        <v>-1.4999999999999991</v>
      </c>
      <c r="F29">
        <v>0.750000000000001</v>
      </c>
      <c r="G29">
        <v>-0.24999999999999922</v>
      </c>
      <c r="H29">
        <v>0.50000000000000067</v>
      </c>
      <c r="I29" s="4">
        <v>1.9999999999999998</v>
      </c>
    </row>
    <row r="30" spans="1:9" ht="15" thickBot="1" x14ac:dyDescent="0.35">
      <c r="A30">
        <v>29</v>
      </c>
      <c r="B30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 s="4">
        <v>0</v>
      </c>
    </row>
    <row r="31" spans="1:9" ht="15" thickBot="1" x14ac:dyDescent="0.35">
      <c r="A31">
        <v>30</v>
      </c>
      <c r="B31">
        <v>5.9999999999999982</v>
      </c>
      <c r="C31">
        <v>-1.1250000000000009</v>
      </c>
      <c r="D31">
        <v>-1.3750000000000007</v>
      </c>
      <c r="E31">
        <v>-0.49999999999999944</v>
      </c>
      <c r="F31">
        <v>0.75000000000000033</v>
      </c>
      <c r="G31">
        <v>1.7500000000000004</v>
      </c>
      <c r="H31">
        <v>0.50000000000000044</v>
      </c>
      <c r="I31" s="4">
        <v>-0.99999999999999989</v>
      </c>
    </row>
    <row r="32" spans="1:9" ht="15" thickBot="1" x14ac:dyDescent="0.35">
      <c r="A32">
        <v>31</v>
      </c>
      <c r="B32">
        <v>5.9999999999999991</v>
      </c>
      <c r="C32">
        <v>1.0000000000000002</v>
      </c>
      <c r="D32">
        <v>-1.9999999999999998</v>
      </c>
      <c r="E32">
        <v>-5.2801637018892263E-17</v>
      </c>
      <c r="F32">
        <v>-2.7311766527897722E-16</v>
      </c>
      <c r="G32">
        <v>-1.4548180793995024E-16</v>
      </c>
      <c r="H32">
        <v>-2.6521370819096693E-17</v>
      </c>
      <c r="I32" s="4">
        <v>1.9876180535878052E-16</v>
      </c>
    </row>
    <row r="33" spans="1:9" ht="15" thickBot="1" x14ac:dyDescent="0.35">
      <c r="A33">
        <v>32</v>
      </c>
      <c r="B33">
        <v>6.0000000000000018</v>
      </c>
      <c r="C33">
        <v>-0.37500000000000028</v>
      </c>
      <c r="D33">
        <v>-0.12500000000000072</v>
      </c>
      <c r="E33">
        <v>1.4999999999999998</v>
      </c>
      <c r="F33">
        <v>0.24999999999999958</v>
      </c>
      <c r="G33">
        <v>1.2499999999999996</v>
      </c>
      <c r="H33">
        <v>-0.50000000000000056</v>
      </c>
      <c r="I33" s="4">
        <v>-0.99999999999999989</v>
      </c>
    </row>
    <row r="34" spans="1:9" ht="15" thickBot="1" x14ac:dyDescent="0.35">
      <c r="A34">
        <v>33</v>
      </c>
      <c r="B34">
        <v>6.0000000000000009</v>
      </c>
      <c r="C34">
        <v>-1.3750000000000007</v>
      </c>
      <c r="D34">
        <v>-1.1250000000000016</v>
      </c>
      <c r="E34">
        <v>2.4999999999999996</v>
      </c>
      <c r="F34">
        <v>2.2500000000000004</v>
      </c>
      <c r="G34">
        <v>2.25</v>
      </c>
      <c r="H34">
        <v>-1.5</v>
      </c>
      <c r="I34" s="4">
        <v>-1.0000000000000002</v>
      </c>
    </row>
    <row r="35" spans="1:9" ht="15" thickBot="1" x14ac:dyDescent="0.35">
      <c r="A35">
        <v>34</v>
      </c>
      <c r="B35">
        <v>3.4999999999999996</v>
      </c>
      <c r="C35">
        <v>0.37499999999999978</v>
      </c>
      <c r="D35">
        <v>-0.375</v>
      </c>
      <c r="E35">
        <v>2.3760736658501519E-16</v>
      </c>
      <c r="F35">
        <v>-0.24999999999999978</v>
      </c>
      <c r="G35">
        <v>0.25000000000000017</v>
      </c>
      <c r="H35">
        <v>1.3260685409548346E-16</v>
      </c>
      <c r="I35" s="4">
        <v>0.49999999999999983</v>
      </c>
    </row>
    <row r="36" spans="1:9" ht="15" thickBot="1" x14ac:dyDescent="0.35">
      <c r="A36">
        <v>35</v>
      </c>
      <c r="B36">
        <v>5.4999999999999973</v>
      </c>
      <c r="C36">
        <v>-0.25000000000000044</v>
      </c>
      <c r="D36">
        <v>-2.2499999999999991</v>
      </c>
      <c r="E36">
        <v>-0.49999999999999928</v>
      </c>
      <c r="F36">
        <v>1.5000000000000007</v>
      </c>
      <c r="G36">
        <v>1.0000000000000007</v>
      </c>
      <c r="H36">
        <v>0.50000000000000067</v>
      </c>
      <c r="I36" s="4">
        <v>0.50000000000000011</v>
      </c>
    </row>
    <row r="37" spans="1:9" ht="15" thickBot="1" x14ac:dyDescent="0.35">
      <c r="A37">
        <v>36</v>
      </c>
      <c r="B37">
        <v>0.50000000000000233</v>
      </c>
      <c r="C37">
        <v>0.374999999999998</v>
      </c>
      <c r="D37">
        <v>0.62499999999999734</v>
      </c>
      <c r="E37">
        <v>4</v>
      </c>
      <c r="F37">
        <v>0.75000000000000133</v>
      </c>
      <c r="G37">
        <v>5.25</v>
      </c>
      <c r="H37">
        <v>6.6303427047741731E-16</v>
      </c>
      <c r="I37" s="4">
        <v>0.49999999999999895</v>
      </c>
    </row>
    <row r="38" spans="1:9" ht="15" thickBot="1" x14ac:dyDescent="0.35">
      <c r="A38">
        <v>37</v>
      </c>
      <c r="B38">
        <v>6</v>
      </c>
      <c r="C38">
        <v>3.9053405867468347E-16</v>
      </c>
      <c r="D38">
        <v>1.0000000000000002</v>
      </c>
      <c r="E38">
        <v>-3.4842953127240568E-16</v>
      </c>
      <c r="F38">
        <v>-4.3263858607696062E-16</v>
      </c>
      <c r="G38">
        <v>-4.3263858607696062E-16</v>
      </c>
      <c r="H38">
        <v>-3.4842953127240568E-16</v>
      </c>
      <c r="I38" s="4">
        <v>8.8267973090152781E-32</v>
      </c>
    </row>
    <row r="39" spans="1:9" ht="15" thickBot="1" x14ac:dyDescent="0.35">
      <c r="A39">
        <v>38</v>
      </c>
      <c r="B39">
        <v>4</v>
      </c>
      <c r="C39">
        <v>9.8562691794219881E-18</v>
      </c>
      <c r="D39">
        <v>2.792850922403182E-17</v>
      </c>
      <c r="E39">
        <v>2.1905352909895516E-17</v>
      </c>
      <c r="F39">
        <v>0.99999999999999978</v>
      </c>
      <c r="G39">
        <v>-1.1343731449299406E-16</v>
      </c>
      <c r="H39">
        <v>2.1905352909895488E-17</v>
      </c>
      <c r="I39" s="4">
        <v>7.9504722143512202E-17</v>
      </c>
    </row>
    <row r="40" spans="1:9" ht="15" thickBot="1" x14ac:dyDescent="0.35">
      <c r="A40">
        <v>39</v>
      </c>
      <c r="B40">
        <v>5.5</v>
      </c>
      <c r="C40">
        <v>-0.49999999999999917</v>
      </c>
      <c r="D40">
        <v>5.9580819677934553E-16</v>
      </c>
      <c r="E40">
        <v>0.49999999999999944</v>
      </c>
      <c r="F40">
        <v>-5.4623533055795445E-16</v>
      </c>
      <c r="G40">
        <v>1.4999999999999996</v>
      </c>
      <c r="H40">
        <v>-0.49999999999999989</v>
      </c>
      <c r="I40" s="4">
        <v>-0.49999999999999961</v>
      </c>
    </row>
    <row r="41" spans="1:9" ht="15" thickBot="1" x14ac:dyDescent="0.35">
      <c r="A41">
        <v>40</v>
      </c>
      <c r="B41">
        <v>1.500000000000002</v>
      </c>
      <c r="C41">
        <v>0.37499999999999656</v>
      </c>
      <c r="D41">
        <v>-0.37500000000000255</v>
      </c>
      <c r="E41">
        <v>1.0692331496325684E-15</v>
      </c>
      <c r="F41">
        <v>-0.24999999999999575</v>
      </c>
      <c r="G41">
        <v>0.25000000000000216</v>
      </c>
      <c r="H41">
        <v>9.9455140571612606E-16</v>
      </c>
      <c r="I41" s="4">
        <v>4.4999999999999956</v>
      </c>
    </row>
    <row r="42" spans="1:9" ht="15" thickBot="1" x14ac:dyDescent="0.35">
      <c r="A42">
        <v>41</v>
      </c>
      <c r="B42">
        <v>2.9999999999999996</v>
      </c>
      <c r="C42">
        <v>1.8750000000000033</v>
      </c>
      <c r="D42">
        <v>3.6250000000000022</v>
      </c>
      <c r="E42">
        <v>2.4999999999999973</v>
      </c>
      <c r="F42">
        <v>0.74999999999999623</v>
      </c>
      <c r="G42">
        <v>-3.2500000000000031</v>
      </c>
      <c r="H42">
        <v>-2.5000000000000018</v>
      </c>
      <c r="I42" s="4">
        <v>-1.9999999999999984</v>
      </c>
    </row>
    <row r="43" spans="1:9" ht="15" thickBot="1" x14ac:dyDescent="0.35">
      <c r="A43">
        <v>42</v>
      </c>
      <c r="B43">
        <v>6.5</v>
      </c>
      <c r="C43">
        <v>-3.3886017204988989E-16</v>
      </c>
      <c r="D43">
        <v>-0.50000000000000056</v>
      </c>
      <c r="E43">
        <v>0.50000000000000011</v>
      </c>
      <c r="F43">
        <v>-0.99999999999999967</v>
      </c>
      <c r="G43">
        <v>0.50000000000000011</v>
      </c>
      <c r="H43">
        <v>-0.49999999999999967</v>
      </c>
      <c r="I43" s="4">
        <v>0.49999999999999983</v>
      </c>
    </row>
    <row r="44" spans="1:9" ht="15" thickBot="1" x14ac:dyDescent="0.35">
      <c r="A44">
        <v>43</v>
      </c>
      <c r="B44">
        <v>2.0000000000000009</v>
      </c>
      <c r="C44">
        <v>-0.24999999999999911</v>
      </c>
      <c r="D44">
        <v>1.2500000000000004</v>
      </c>
      <c r="E44">
        <v>0.99999999999999889</v>
      </c>
      <c r="F44">
        <v>2.4999999999999987</v>
      </c>
      <c r="G44">
        <v>4.4999999999999982</v>
      </c>
      <c r="H44">
        <v>2.9999999999999987</v>
      </c>
      <c r="I44" s="4">
        <v>-0.99999999999999989</v>
      </c>
    </row>
    <row r="45" spans="1:9" ht="15" thickBot="1" x14ac:dyDescent="0.35">
      <c r="A45">
        <v>44</v>
      </c>
      <c r="B45">
        <v>3.0000000000000009</v>
      </c>
      <c r="C45">
        <v>0.62500000000000078</v>
      </c>
      <c r="D45">
        <v>1.875</v>
      </c>
      <c r="E45">
        <v>0.49999999999999906</v>
      </c>
      <c r="F45">
        <v>-0.75000000000000078</v>
      </c>
      <c r="G45">
        <v>-0.75000000000000078</v>
      </c>
      <c r="H45">
        <v>0.49999999999999906</v>
      </c>
      <c r="I45" s="4">
        <v>0</v>
      </c>
    </row>
    <row r="46" spans="1:9" ht="15" thickBot="1" x14ac:dyDescent="0.35">
      <c r="A46">
        <v>45</v>
      </c>
      <c r="B46">
        <v>7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 s="4">
        <v>0</v>
      </c>
    </row>
    <row r="47" spans="1:9" ht="15" thickBot="1" x14ac:dyDescent="0.35">
      <c r="A47">
        <v>46</v>
      </c>
      <c r="B47">
        <v>1.5000000000000013</v>
      </c>
      <c r="C47">
        <v>-0.62500000000000044</v>
      </c>
      <c r="D47">
        <v>-0.37500000000000122</v>
      </c>
      <c r="E47">
        <v>4.9999999999999973</v>
      </c>
      <c r="F47">
        <v>4.7499999999999991</v>
      </c>
      <c r="G47">
        <v>3.2499999999999982</v>
      </c>
      <c r="H47">
        <v>-5.7020947261057892E-16</v>
      </c>
      <c r="I47" s="4">
        <v>-0.50000000000000044</v>
      </c>
    </row>
    <row r="48" spans="1:9" ht="15" thickBot="1" x14ac:dyDescent="0.35">
      <c r="A48">
        <v>47</v>
      </c>
      <c r="B48">
        <v>5.4999999999999991</v>
      </c>
      <c r="C48">
        <v>0.62499999999999989</v>
      </c>
      <c r="D48">
        <v>0.37499999999999994</v>
      </c>
      <c r="E48">
        <v>2.6400818509446132E-17</v>
      </c>
      <c r="F48">
        <v>0.25000000000000006</v>
      </c>
      <c r="G48">
        <v>-0.25000000000000017</v>
      </c>
      <c r="H48">
        <v>-1.0608548327638677E-16</v>
      </c>
      <c r="I48" s="4">
        <v>0.49999999999999978</v>
      </c>
    </row>
    <row r="49" spans="1:9" ht="15" thickBot="1" x14ac:dyDescent="0.35">
      <c r="A49">
        <v>48</v>
      </c>
      <c r="B49">
        <v>5.5000000000000018</v>
      </c>
      <c r="C49">
        <v>-1.0000000000000011</v>
      </c>
      <c r="D49">
        <v>-0.50000000000000144</v>
      </c>
      <c r="E49">
        <v>0.50000000000000011</v>
      </c>
      <c r="F49">
        <v>-0.99999999999999944</v>
      </c>
      <c r="G49">
        <v>0.50000000000000033</v>
      </c>
      <c r="H49">
        <v>0.50000000000000011</v>
      </c>
      <c r="I49" s="4">
        <v>-0.50000000000000033</v>
      </c>
    </row>
    <row r="50" spans="1:9" ht="15" thickBot="1" x14ac:dyDescent="0.35">
      <c r="A50">
        <v>49</v>
      </c>
      <c r="B50">
        <v>5</v>
      </c>
      <c r="C50">
        <v>-1.7485847502572364E-16</v>
      </c>
      <c r="D50">
        <v>-1.0000000000000002</v>
      </c>
      <c r="E50">
        <v>0.99999999999999978</v>
      </c>
      <c r="F50">
        <v>-1.0000000000000002</v>
      </c>
      <c r="G50">
        <v>2</v>
      </c>
      <c r="H50">
        <v>7.781987735723486E-17</v>
      </c>
      <c r="I50" s="4">
        <v>0.99999999999999956</v>
      </c>
    </row>
    <row r="51" spans="1:9" ht="15" thickBot="1" x14ac:dyDescent="0.35">
      <c r="A51">
        <v>50</v>
      </c>
      <c r="B51">
        <v>3</v>
      </c>
      <c r="C51">
        <v>3.0000000000000027</v>
      </c>
      <c r="D51">
        <v>3.0000000000000018</v>
      </c>
      <c r="E51">
        <v>0.99999999999999911</v>
      </c>
      <c r="F51">
        <v>-1.0000000000000016</v>
      </c>
      <c r="G51">
        <v>-1.0000000000000022</v>
      </c>
      <c r="H51">
        <v>-1.6973677324221884E-15</v>
      </c>
      <c r="I51" s="4">
        <v>0.99999999999999989</v>
      </c>
    </row>
    <row r="52" spans="1:9" ht="15" thickBot="1" x14ac:dyDescent="0.35">
      <c r="A52">
        <v>51</v>
      </c>
      <c r="B52">
        <v>6.9999999999999991</v>
      </c>
      <c r="C52">
        <v>0.25000000000000194</v>
      </c>
      <c r="D52">
        <v>-1.2499999999999976</v>
      </c>
      <c r="E52">
        <v>-0.99999999999999978</v>
      </c>
      <c r="F52">
        <v>-1.5000000000000016</v>
      </c>
      <c r="G52">
        <v>0.49999999999999961</v>
      </c>
      <c r="H52">
        <v>-1.0000000000000002</v>
      </c>
      <c r="I52" s="4">
        <v>-1.9999999999999984</v>
      </c>
    </row>
    <row r="53" spans="1:9" ht="15" thickBot="1" x14ac:dyDescent="0.35">
      <c r="A53">
        <v>52</v>
      </c>
      <c r="B53">
        <v>6.0000000000000027</v>
      </c>
      <c r="C53">
        <v>-1.6250000000000016</v>
      </c>
      <c r="D53">
        <v>-2.8750000000000013</v>
      </c>
      <c r="E53">
        <v>2.5000000000000004</v>
      </c>
      <c r="F53">
        <v>-0.24999999999999922</v>
      </c>
      <c r="G53">
        <v>1.7500000000000004</v>
      </c>
      <c r="H53">
        <v>1.4999999999999998</v>
      </c>
      <c r="I53" s="4">
        <v>-1.0000000000000009</v>
      </c>
    </row>
    <row r="54" spans="1:9" ht="15" thickBot="1" x14ac:dyDescent="0.35">
      <c r="A54">
        <v>53</v>
      </c>
      <c r="B54">
        <v>6.5</v>
      </c>
      <c r="C54">
        <v>-1.6250000000000007</v>
      </c>
      <c r="D54">
        <v>-1.3750000000000011</v>
      </c>
      <c r="E54">
        <v>1</v>
      </c>
      <c r="F54">
        <v>-0.24999999999999978</v>
      </c>
      <c r="G54">
        <v>1.2500000000000002</v>
      </c>
      <c r="H54">
        <v>1.0000000000000004</v>
      </c>
      <c r="I54" s="4">
        <v>0.50000000000000011</v>
      </c>
    </row>
    <row r="55" spans="1:9" ht="15" thickBot="1" x14ac:dyDescent="0.35">
      <c r="A55">
        <v>54</v>
      </c>
      <c r="B55">
        <v>3.5000000000000004</v>
      </c>
      <c r="C55">
        <v>1.6250000000000007</v>
      </c>
      <c r="D55">
        <v>1.3750000000000004</v>
      </c>
      <c r="E55">
        <v>0.99999999999999911</v>
      </c>
      <c r="F55">
        <v>-2.7500000000000009</v>
      </c>
      <c r="G55">
        <v>0.749999999999999</v>
      </c>
      <c r="H55">
        <v>-7.425983829347074E-16</v>
      </c>
      <c r="I55" s="4">
        <v>0.49999999999999994</v>
      </c>
    </row>
    <row r="56" spans="1:9" ht="15" thickBot="1" x14ac:dyDescent="0.35">
      <c r="A56">
        <v>55</v>
      </c>
      <c r="B56">
        <v>6.5</v>
      </c>
      <c r="C56">
        <v>-1.1949601791827858E-16</v>
      </c>
      <c r="D56">
        <v>0.49999999999999978</v>
      </c>
      <c r="E56">
        <v>0.49999999999999978</v>
      </c>
      <c r="F56">
        <v>2.2759805439914768E-17</v>
      </c>
      <c r="G56">
        <v>-0.50000000000000011</v>
      </c>
      <c r="H56">
        <v>-0.50000000000000033</v>
      </c>
      <c r="I56" s="4">
        <v>0.49999999999999961</v>
      </c>
    </row>
    <row r="57" spans="1:9" ht="15" thickBot="1" x14ac:dyDescent="0.35">
      <c r="A57">
        <v>56</v>
      </c>
      <c r="B57">
        <v>6.0000000000000009</v>
      </c>
      <c r="C57">
        <v>-1.6250000000000018</v>
      </c>
      <c r="D57">
        <v>-1.8750000000000016</v>
      </c>
      <c r="E57">
        <v>1.5</v>
      </c>
      <c r="F57">
        <v>1.7500000000000004</v>
      </c>
      <c r="G57">
        <v>2.7500000000000004</v>
      </c>
      <c r="H57">
        <v>0.50000000000000056</v>
      </c>
      <c r="I57" s="4">
        <v>-6.3603777714809761E-16</v>
      </c>
    </row>
    <row r="58" spans="1:9" ht="15" thickBot="1" x14ac:dyDescent="0.35">
      <c r="A58">
        <v>57</v>
      </c>
      <c r="B58">
        <v>5.5</v>
      </c>
      <c r="C58">
        <v>1.3750000000000004</v>
      </c>
      <c r="D58">
        <v>0.62500000000000033</v>
      </c>
      <c r="E58">
        <v>-1.5840491105667679E-16</v>
      </c>
      <c r="F58">
        <v>-1.2500000000000002</v>
      </c>
      <c r="G58">
        <v>-0.75000000000000056</v>
      </c>
      <c r="H58">
        <v>-1.0000000000000002</v>
      </c>
      <c r="I58" s="4">
        <v>-0.49999999999999994</v>
      </c>
    </row>
    <row r="59" spans="1:9" ht="15" thickBot="1" x14ac:dyDescent="0.35">
      <c r="A59">
        <v>58</v>
      </c>
      <c r="B59">
        <v>2.9999999999999996</v>
      </c>
      <c r="C59">
        <v>1.3750000000000018</v>
      </c>
      <c r="D59">
        <v>1.1250000000000013</v>
      </c>
      <c r="E59">
        <v>0.49999999999999928</v>
      </c>
      <c r="F59">
        <v>0.74999999999999856</v>
      </c>
      <c r="G59">
        <v>-1.2500000000000013</v>
      </c>
      <c r="H59">
        <v>0.49999999999999928</v>
      </c>
      <c r="I59" s="4">
        <v>1.113066110009171E-15</v>
      </c>
    </row>
    <row r="60" spans="1:9" ht="15" thickBot="1" x14ac:dyDescent="0.35">
      <c r="A60">
        <v>59</v>
      </c>
      <c r="B60">
        <v>6.0000000000000027</v>
      </c>
      <c r="C60">
        <v>-1.2500000000000013</v>
      </c>
      <c r="D60">
        <v>-1.7500000000000027</v>
      </c>
      <c r="E60">
        <v>2.9999999999999991</v>
      </c>
      <c r="F60">
        <v>-2.4999999999999991</v>
      </c>
      <c r="G60">
        <v>1.5000000000000002</v>
      </c>
      <c r="H60">
        <v>-1.0000000000000002</v>
      </c>
      <c r="I60" s="4">
        <v>-2.0000000000000004</v>
      </c>
    </row>
    <row r="61" spans="1:9" ht="15" thickBot="1" x14ac:dyDescent="0.35">
      <c r="A61">
        <v>60</v>
      </c>
      <c r="B61">
        <v>6.5000000000000036</v>
      </c>
      <c r="C61">
        <v>-3.7500000000000044</v>
      </c>
      <c r="D61">
        <v>-3.7500000000000049</v>
      </c>
      <c r="E61">
        <v>3.5</v>
      </c>
      <c r="F61">
        <v>-1.4999999999999969</v>
      </c>
      <c r="G61">
        <v>4.0000000000000009</v>
      </c>
      <c r="H61">
        <v>-0.49999999999999872</v>
      </c>
      <c r="I61" s="4">
        <v>0.49999999999999767</v>
      </c>
    </row>
    <row r="62" spans="1:9" ht="15" thickBot="1" x14ac:dyDescent="0.35">
      <c r="A62">
        <v>61</v>
      </c>
      <c r="B62">
        <v>3.0000000000000009</v>
      </c>
      <c r="C62">
        <v>0.74999999999999967</v>
      </c>
      <c r="D62">
        <v>0.249999999999999</v>
      </c>
      <c r="E62">
        <v>1.9999999999999996</v>
      </c>
      <c r="F62">
        <v>2.5000000000000004</v>
      </c>
      <c r="G62">
        <v>2.5</v>
      </c>
      <c r="H62">
        <v>0.99999999999999978</v>
      </c>
      <c r="I62" s="4">
        <v>0.99999999999999922</v>
      </c>
    </row>
    <row r="63" spans="1:9" ht="15" thickBot="1" x14ac:dyDescent="0.35">
      <c r="A63">
        <v>62</v>
      </c>
      <c r="B63">
        <v>6</v>
      </c>
      <c r="C63">
        <v>-1.0000000000000011</v>
      </c>
      <c r="D63">
        <v>-1.0000000000000013</v>
      </c>
      <c r="E63">
        <v>1.9999999999999996</v>
      </c>
      <c r="F63">
        <v>1.0000000000000004</v>
      </c>
      <c r="G63">
        <v>2.0000000000000004</v>
      </c>
      <c r="H63">
        <v>2.6521370819096693E-17</v>
      </c>
      <c r="I63" s="4">
        <v>-5.5653305500458549E-16</v>
      </c>
    </row>
    <row r="64" spans="1:9" x14ac:dyDescent="0.3">
      <c r="I64" s="1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E72B4-0CF0-4AA4-A582-7B9640243185}">
  <dimension ref="A1:BK75"/>
  <sheetViews>
    <sheetView topLeftCell="BA32" zoomScale="96" workbookViewId="0">
      <selection activeCell="B44" sqref="B44:BK44"/>
    </sheetView>
  </sheetViews>
  <sheetFormatPr defaultColWidth="8.77734375" defaultRowHeight="14.4" x14ac:dyDescent="0.3"/>
  <cols>
    <col min="1" max="1" width="22.88671875" bestFit="1" customWidth="1"/>
    <col min="2" max="2" width="17.5546875" bestFit="1" customWidth="1"/>
    <col min="3" max="3" width="19.44140625" bestFit="1" customWidth="1"/>
    <col min="4" max="4" width="13.21875" bestFit="1" customWidth="1"/>
    <col min="5" max="6" width="7.44140625" bestFit="1" customWidth="1"/>
    <col min="7" max="7" width="20.109375" bestFit="1" customWidth="1"/>
    <col min="8" max="8" width="17.5546875" bestFit="1" customWidth="1"/>
    <col min="9" max="9" width="19.44140625" bestFit="1" customWidth="1"/>
    <col min="10" max="10" width="13.21875" bestFit="1" customWidth="1"/>
    <col min="11" max="11" width="30.33203125" bestFit="1" customWidth="1"/>
    <col min="12" max="12" width="17.5546875" bestFit="1" customWidth="1"/>
    <col min="13" max="13" width="28.77734375" bestFit="1" customWidth="1"/>
    <col min="14" max="14" width="7.44140625" bestFit="1" customWidth="1"/>
    <col min="15" max="15" width="17.5546875" bestFit="1" customWidth="1"/>
    <col min="16" max="16" width="28.77734375" bestFit="1" customWidth="1"/>
    <col min="17" max="17" width="13.44140625" bestFit="1" customWidth="1"/>
    <col min="18" max="19" width="13.21875" bestFit="1" customWidth="1"/>
    <col min="20" max="20" width="19.44140625" bestFit="1" customWidth="1"/>
    <col min="21" max="21" width="13.21875" bestFit="1" customWidth="1"/>
    <col min="22" max="22" width="19.44140625" bestFit="1" customWidth="1"/>
    <col min="23" max="23" width="28.77734375" bestFit="1" customWidth="1"/>
    <col min="24" max="24" width="19.44140625" bestFit="1" customWidth="1"/>
    <col min="25" max="25" width="28.77734375" bestFit="1" customWidth="1"/>
    <col min="26" max="26" width="19.44140625" bestFit="1" customWidth="1"/>
    <col min="27" max="27" width="13.21875" bestFit="1" customWidth="1"/>
    <col min="28" max="28" width="20.109375" bestFit="1" customWidth="1"/>
    <col min="29" max="29" width="10.77734375" bestFit="1" customWidth="1"/>
    <col min="30" max="30" width="7.44140625" bestFit="1" customWidth="1"/>
    <col min="31" max="32" width="13.21875" bestFit="1" customWidth="1"/>
    <col min="33" max="34" width="19.44140625" bestFit="1" customWidth="1"/>
    <col min="35" max="35" width="12.44140625" bestFit="1" customWidth="1"/>
    <col min="36" max="36" width="13.21875" bestFit="1" customWidth="1"/>
    <col min="37" max="37" width="12.44140625" bestFit="1" customWidth="1"/>
    <col min="38" max="38" width="30.33203125" bestFit="1" customWidth="1"/>
    <col min="39" max="39" width="13.21875" bestFit="1" customWidth="1"/>
    <col min="40" max="40" width="19.44140625" bestFit="1" customWidth="1"/>
    <col min="41" max="41" width="13.21875" bestFit="1" customWidth="1"/>
    <col min="42" max="42" width="19.44140625" bestFit="1" customWidth="1"/>
    <col min="43" max="43" width="13.44140625" bestFit="1" customWidth="1"/>
    <col min="44" max="44" width="13.21875" bestFit="1" customWidth="1"/>
    <col min="45" max="45" width="12.44140625" bestFit="1" customWidth="1"/>
    <col min="46" max="46" width="7.44140625" bestFit="1" customWidth="1"/>
    <col min="47" max="47" width="19.44140625" bestFit="1" customWidth="1"/>
    <col min="48" max="48" width="13.21875" bestFit="1" customWidth="1"/>
    <col min="49" max="49" width="13.44140625" bestFit="1" customWidth="1"/>
    <col min="50" max="51" width="13.21875" bestFit="1" customWidth="1"/>
    <col min="52" max="52" width="19.44140625" bestFit="1" customWidth="1"/>
    <col min="53" max="54" width="12.44140625" bestFit="1" customWidth="1"/>
    <col min="55" max="57" width="13.21875" bestFit="1" customWidth="1"/>
    <col min="58" max="58" width="19.44140625" bestFit="1" customWidth="1"/>
    <col min="59" max="59" width="13.21875" bestFit="1" customWidth="1"/>
    <col min="60" max="60" width="19.44140625" bestFit="1" customWidth="1"/>
    <col min="61" max="61" width="12.44140625" bestFit="1" customWidth="1"/>
    <col min="62" max="62" width="17.5546875" bestFit="1" customWidth="1"/>
    <col min="63" max="63" width="13.44140625" bestFit="1" customWidth="1"/>
  </cols>
  <sheetData>
    <row r="1" spans="1:63" x14ac:dyDescent="0.3">
      <c r="A1" t="s">
        <v>46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</row>
    <row r="2" spans="1:63" x14ac:dyDescent="0.3">
      <c r="A2" t="s">
        <v>2</v>
      </c>
      <c r="B2">
        <v>-1.1250000000000007</v>
      </c>
      <c r="C2">
        <v>0.62500000000000044</v>
      </c>
      <c r="D2">
        <v>-3.7500000000000027</v>
      </c>
      <c r="E2">
        <v>0</v>
      </c>
      <c r="F2">
        <v>0</v>
      </c>
      <c r="G2">
        <v>-1.2500000000000009</v>
      </c>
      <c r="H2">
        <v>1.9999999999999996</v>
      </c>
      <c r="I2">
        <v>0.24999999999999939</v>
      </c>
      <c r="J2">
        <v>-3.6250000000000049</v>
      </c>
      <c r="K2">
        <v>1.1250000000000002</v>
      </c>
      <c r="L2">
        <v>-0.24999999999999978</v>
      </c>
      <c r="M2">
        <v>-0.62499999999999989</v>
      </c>
      <c r="N2">
        <v>0</v>
      </c>
      <c r="O2">
        <v>-1.500000000000002</v>
      </c>
      <c r="P2">
        <v>-0.62499999999999978</v>
      </c>
      <c r="Q2">
        <v>-1.5000000000000024</v>
      </c>
      <c r="R2">
        <v>1.1249999999999996</v>
      </c>
      <c r="S2">
        <v>-2.625</v>
      </c>
      <c r="T2">
        <v>-0.750000000000001</v>
      </c>
      <c r="U2">
        <v>2.75</v>
      </c>
      <c r="V2">
        <v>-1.6250000000000007</v>
      </c>
      <c r="W2">
        <v>-0.87500000000000044</v>
      </c>
      <c r="X2">
        <v>-2.25</v>
      </c>
      <c r="Y2">
        <v>-0.12500000000000053</v>
      </c>
      <c r="Z2">
        <v>1.1846681862633941E-16</v>
      </c>
      <c r="AA2">
        <v>-3.6250000000000013</v>
      </c>
      <c r="AB2">
        <v>2.0771509446240278E-16</v>
      </c>
      <c r="AC2">
        <v>-0.62500000000000044</v>
      </c>
      <c r="AD2">
        <v>0</v>
      </c>
      <c r="AE2">
        <v>-1.1250000000000009</v>
      </c>
      <c r="AF2">
        <v>1.0000000000000002</v>
      </c>
      <c r="AG2">
        <v>-0.37500000000000028</v>
      </c>
      <c r="AH2">
        <v>-1.3750000000000007</v>
      </c>
      <c r="AI2">
        <v>0.37499999999999978</v>
      </c>
      <c r="AJ2">
        <v>-0.25000000000000044</v>
      </c>
      <c r="AK2">
        <v>0.374999999999998</v>
      </c>
      <c r="AL2">
        <v>3.9053405867468347E-16</v>
      </c>
      <c r="AM2">
        <v>9.8562691794219881E-18</v>
      </c>
      <c r="AN2">
        <v>-0.49999999999999917</v>
      </c>
      <c r="AO2">
        <v>0.37499999999999656</v>
      </c>
      <c r="AP2">
        <v>1.8750000000000033</v>
      </c>
      <c r="AQ2">
        <v>-3.3886017204988989E-16</v>
      </c>
      <c r="AR2">
        <v>-0.24999999999999911</v>
      </c>
      <c r="AS2">
        <v>0.62500000000000078</v>
      </c>
      <c r="AT2">
        <v>0</v>
      </c>
      <c r="AU2">
        <v>-0.62500000000000044</v>
      </c>
      <c r="AV2">
        <v>0.62499999999999989</v>
      </c>
      <c r="AW2">
        <v>-1.0000000000000011</v>
      </c>
      <c r="AX2">
        <v>-1.7485847502572364E-16</v>
      </c>
      <c r="AY2">
        <v>3.0000000000000027</v>
      </c>
      <c r="AZ2">
        <v>0.25000000000000194</v>
      </c>
      <c r="BA2">
        <v>-1.6250000000000016</v>
      </c>
      <c r="BB2">
        <v>-1.6250000000000007</v>
      </c>
      <c r="BC2">
        <v>1.6250000000000007</v>
      </c>
      <c r="BD2">
        <v>-1.1949601791827858E-16</v>
      </c>
      <c r="BE2">
        <v>-1.6250000000000018</v>
      </c>
      <c r="BF2">
        <v>1.3750000000000004</v>
      </c>
      <c r="BG2">
        <v>1.3750000000000018</v>
      </c>
      <c r="BH2">
        <v>-1.2500000000000013</v>
      </c>
      <c r="BI2">
        <v>-3.7500000000000044</v>
      </c>
      <c r="BJ2">
        <v>0.74999999999999967</v>
      </c>
      <c r="BK2">
        <v>-1.0000000000000011</v>
      </c>
    </row>
    <row r="3" spans="1:63" x14ac:dyDescent="0.3">
      <c r="A3" t="s">
        <v>3</v>
      </c>
      <c r="B3">
        <v>-1.3750000000000004</v>
      </c>
      <c r="C3">
        <v>1.3749999999999998</v>
      </c>
      <c r="D3">
        <v>-2.7500000000000044</v>
      </c>
      <c r="E3">
        <v>0</v>
      </c>
      <c r="F3">
        <v>0</v>
      </c>
      <c r="G3">
        <v>-2.7500000000000009</v>
      </c>
      <c r="H3">
        <v>0</v>
      </c>
      <c r="I3">
        <v>0.749999999999999</v>
      </c>
      <c r="J3">
        <v>-2.375000000000004</v>
      </c>
      <c r="K3">
        <v>0.37500000000000017</v>
      </c>
      <c r="L3">
        <v>-0.74999999999999978</v>
      </c>
      <c r="M3">
        <v>-0.37499999999999978</v>
      </c>
      <c r="N3">
        <v>0</v>
      </c>
      <c r="O3">
        <v>-4.5000000000000018</v>
      </c>
      <c r="P3">
        <v>-0.37500000000000039</v>
      </c>
      <c r="Q3">
        <v>-2.5000000000000031</v>
      </c>
      <c r="R3">
        <v>-1.1250000000000004</v>
      </c>
      <c r="S3">
        <v>-1.3750000000000002</v>
      </c>
      <c r="T3">
        <v>-0.75000000000000122</v>
      </c>
      <c r="U3">
        <v>4.25</v>
      </c>
      <c r="V3">
        <v>-0.87500000000000155</v>
      </c>
      <c r="W3">
        <v>-1.1250000000000004</v>
      </c>
      <c r="X3">
        <v>-3.2500000000000004</v>
      </c>
      <c r="Y3">
        <v>0.12499999999999906</v>
      </c>
      <c r="Z3">
        <v>7.4476024597418191E-17</v>
      </c>
      <c r="AA3">
        <v>-4.875</v>
      </c>
      <c r="AB3">
        <v>0.50000000000000022</v>
      </c>
      <c r="AC3">
        <v>0.12500000000000008</v>
      </c>
      <c r="AD3">
        <v>0</v>
      </c>
      <c r="AE3">
        <v>-1.3750000000000007</v>
      </c>
      <c r="AF3">
        <v>-1.9999999999999998</v>
      </c>
      <c r="AG3">
        <v>-0.12500000000000072</v>
      </c>
      <c r="AH3">
        <v>-1.1250000000000016</v>
      </c>
      <c r="AI3">
        <v>-0.375</v>
      </c>
      <c r="AJ3">
        <v>-2.2499999999999991</v>
      </c>
      <c r="AK3">
        <v>0.62499999999999734</v>
      </c>
      <c r="AL3">
        <v>1.0000000000000002</v>
      </c>
      <c r="AM3">
        <v>2.792850922403182E-17</v>
      </c>
      <c r="AN3">
        <v>5.9580819677934553E-16</v>
      </c>
      <c r="AO3">
        <v>-0.37500000000000255</v>
      </c>
      <c r="AP3">
        <v>3.6250000000000022</v>
      </c>
      <c r="AQ3">
        <v>-0.50000000000000056</v>
      </c>
      <c r="AR3">
        <v>1.2500000000000004</v>
      </c>
      <c r="AS3">
        <v>1.875</v>
      </c>
      <c r="AT3">
        <v>0</v>
      </c>
      <c r="AU3">
        <v>-0.37500000000000122</v>
      </c>
      <c r="AV3">
        <v>0.37499999999999994</v>
      </c>
      <c r="AW3">
        <v>-0.50000000000000144</v>
      </c>
      <c r="AX3">
        <v>-1.0000000000000002</v>
      </c>
      <c r="AY3">
        <v>3.0000000000000018</v>
      </c>
      <c r="AZ3">
        <v>-1.2499999999999976</v>
      </c>
      <c r="BA3">
        <v>-2.8750000000000013</v>
      </c>
      <c r="BB3">
        <v>-1.3750000000000011</v>
      </c>
      <c r="BC3">
        <v>1.3750000000000004</v>
      </c>
      <c r="BD3">
        <v>0.49999999999999978</v>
      </c>
      <c r="BE3">
        <v>-1.8750000000000016</v>
      </c>
      <c r="BF3">
        <v>0.62500000000000033</v>
      </c>
      <c r="BG3">
        <v>1.1250000000000013</v>
      </c>
      <c r="BH3">
        <v>-1.7500000000000027</v>
      </c>
      <c r="BI3">
        <v>-3.7500000000000049</v>
      </c>
      <c r="BJ3">
        <v>0.249999999999999</v>
      </c>
      <c r="BK3">
        <v>-1.0000000000000013</v>
      </c>
    </row>
    <row r="4" spans="1:63" x14ac:dyDescent="0.3">
      <c r="A4" t="s">
        <v>4</v>
      </c>
      <c r="B4">
        <v>-0.49999999999999928</v>
      </c>
      <c r="C4">
        <v>0.99999999999999911</v>
      </c>
      <c r="D4">
        <v>4.4999999999999991</v>
      </c>
      <c r="E4">
        <v>0</v>
      </c>
      <c r="F4">
        <v>0</v>
      </c>
      <c r="G4">
        <v>1</v>
      </c>
      <c r="H4">
        <v>-0.99999999999999933</v>
      </c>
      <c r="I4">
        <v>0.99999999999999911</v>
      </c>
      <c r="J4">
        <v>1.0560327403778453E-15</v>
      </c>
      <c r="K4">
        <v>-0.5</v>
      </c>
      <c r="L4">
        <v>1.2540388791986914E-16</v>
      </c>
      <c r="M4">
        <v>3.9601227764169198E-16</v>
      </c>
      <c r="N4">
        <v>0</v>
      </c>
      <c r="O4">
        <v>1.7952556586423372E-15</v>
      </c>
      <c r="P4">
        <v>0.99999999999999956</v>
      </c>
      <c r="Q4">
        <v>4</v>
      </c>
      <c r="R4">
        <v>1.0000000000000007</v>
      </c>
      <c r="S4">
        <v>3.1680982211335358E-16</v>
      </c>
      <c r="T4">
        <v>1.5</v>
      </c>
      <c r="U4">
        <v>0.99999999999999878</v>
      </c>
      <c r="V4">
        <v>2.4999999999999991</v>
      </c>
      <c r="W4">
        <v>1</v>
      </c>
      <c r="X4">
        <v>0.5</v>
      </c>
      <c r="Y4">
        <v>0.99999999999999933</v>
      </c>
      <c r="Z4">
        <v>3.9999999999999973</v>
      </c>
      <c r="AA4">
        <v>0.50000000000000078</v>
      </c>
      <c r="AB4">
        <v>-0.5</v>
      </c>
      <c r="AC4">
        <v>-1.4999999999999991</v>
      </c>
      <c r="AD4">
        <v>0</v>
      </c>
      <c r="AE4">
        <v>-0.49999999999999944</v>
      </c>
      <c r="AF4">
        <v>-5.2801637018892263E-17</v>
      </c>
      <c r="AG4">
        <v>1.4999999999999998</v>
      </c>
      <c r="AH4">
        <v>2.4999999999999996</v>
      </c>
      <c r="AI4">
        <v>2.3760736658501519E-16</v>
      </c>
      <c r="AJ4">
        <v>-0.49999999999999928</v>
      </c>
      <c r="AK4">
        <v>4</v>
      </c>
      <c r="AL4">
        <v>-3.4842953127240568E-16</v>
      </c>
      <c r="AM4">
        <v>2.1905352909895516E-17</v>
      </c>
      <c r="AN4">
        <v>0.49999999999999944</v>
      </c>
      <c r="AO4">
        <v>1.0692331496325684E-15</v>
      </c>
      <c r="AP4">
        <v>2.4999999999999973</v>
      </c>
      <c r="AQ4">
        <v>0.50000000000000011</v>
      </c>
      <c r="AR4">
        <v>0.99999999999999889</v>
      </c>
      <c r="AS4">
        <v>0.49999999999999906</v>
      </c>
      <c r="AT4">
        <v>0</v>
      </c>
      <c r="AU4">
        <v>4.9999999999999973</v>
      </c>
      <c r="AV4">
        <v>2.6400818509446132E-17</v>
      </c>
      <c r="AW4">
        <v>0.50000000000000011</v>
      </c>
      <c r="AX4">
        <v>0.99999999999999978</v>
      </c>
      <c r="AY4">
        <v>0.99999999999999911</v>
      </c>
      <c r="AZ4">
        <v>-0.99999999999999978</v>
      </c>
      <c r="BA4">
        <v>2.5000000000000004</v>
      </c>
      <c r="BB4">
        <v>1</v>
      </c>
      <c r="BC4">
        <v>0.99999999999999911</v>
      </c>
      <c r="BD4">
        <v>0.49999999999999978</v>
      </c>
      <c r="BE4">
        <v>1.5</v>
      </c>
      <c r="BF4">
        <v>-1.5840491105667679E-16</v>
      </c>
      <c r="BG4">
        <v>0.49999999999999928</v>
      </c>
      <c r="BH4">
        <v>2.9999999999999991</v>
      </c>
      <c r="BI4">
        <v>3.5</v>
      </c>
      <c r="BJ4">
        <v>1.9999999999999996</v>
      </c>
      <c r="BK4">
        <v>1.9999999999999996</v>
      </c>
    </row>
    <row r="5" spans="1:63" x14ac:dyDescent="0.3">
      <c r="A5" t="s">
        <v>5</v>
      </c>
      <c r="B5">
        <v>0.75000000000000044</v>
      </c>
      <c r="C5">
        <v>-1.7500000000000011</v>
      </c>
      <c r="D5">
        <v>4.5</v>
      </c>
      <c r="E5">
        <v>0</v>
      </c>
      <c r="F5">
        <v>0</v>
      </c>
      <c r="G5">
        <v>-1.4999999999999987</v>
      </c>
      <c r="H5">
        <v>0.99999999999999978</v>
      </c>
      <c r="I5">
        <v>0.49999999999999972</v>
      </c>
      <c r="J5">
        <v>2.7500000000000022</v>
      </c>
      <c r="K5">
        <v>-0.75</v>
      </c>
      <c r="L5">
        <v>0.5</v>
      </c>
      <c r="M5">
        <v>-4.2500000000000009</v>
      </c>
      <c r="N5">
        <v>0</v>
      </c>
      <c r="O5">
        <v>3.0000000000000022</v>
      </c>
      <c r="P5">
        <v>0.74999999999999967</v>
      </c>
      <c r="Q5">
        <v>3.0000000000000009</v>
      </c>
      <c r="R5">
        <v>-0.749999999999999</v>
      </c>
      <c r="S5">
        <v>0.75000000000000022</v>
      </c>
      <c r="T5">
        <v>-0.49999999999999944</v>
      </c>
      <c r="U5">
        <v>-1.5</v>
      </c>
      <c r="V5">
        <v>-0.25000000000000022</v>
      </c>
      <c r="W5">
        <v>1.2500000000000002</v>
      </c>
      <c r="X5">
        <v>-1.4999999999999989</v>
      </c>
      <c r="Y5">
        <v>0.74999999999999967</v>
      </c>
      <c r="Z5">
        <v>-1.4566275481545451E-15</v>
      </c>
      <c r="AA5">
        <v>2.7500000000000009</v>
      </c>
      <c r="AB5">
        <v>1.1379902719957383E-16</v>
      </c>
      <c r="AC5">
        <v>0.750000000000001</v>
      </c>
      <c r="AD5">
        <v>0</v>
      </c>
      <c r="AE5">
        <v>0.75000000000000033</v>
      </c>
      <c r="AF5">
        <v>-2.7311766527897722E-16</v>
      </c>
      <c r="AG5">
        <v>0.24999999999999958</v>
      </c>
      <c r="AH5">
        <v>2.2500000000000004</v>
      </c>
      <c r="AI5">
        <v>-0.24999999999999978</v>
      </c>
      <c r="AJ5">
        <v>1.5000000000000007</v>
      </c>
      <c r="AK5">
        <v>0.75000000000000133</v>
      </c>
      <c r="AL5">
        <v>-4.3263858607696062E-16</v>
      </c>
      <c r="AM5">
        <v>0.99999999999999978</v>
      </c>
      <c r="AN5">
        <v>-5.4623533055795445E-16</v>
      </c>
      <c r="AO5">
        <v>-0.24999999999999575</v>
      </c>
      <c r="AP5">
        <v>0.74999999999999623</v>
      </c>
      <c r="AQ5">
        <v>-0.99999999999999967</v>
      </c>
      <c r="AR5">
        <v>2.4999999999999987</v>
      </c>
      <c r="AS5">
        <v>-0.75000000000000078</v>
      </c>
      <c r="AT5">
        <v>0</v>
      </c>
      <c r="AU5">
        <v>4.7499999999999991</v>
      </c>
      <c r="AV5">
        <v>0.25000000000000006</v>
      </c>
      <c r="AW5">
        <v>-0.99999999999999944</v>
      </c>
      <c r="AX5">
        <v>-1.0000000000000002</v>
      </c>
      <c r="AY5">
        <v>-1.0000000000000016</v>
      </c>
      <c r="AZ5">
        <v>-1.5000000000000016</v>
      </c>
      <c r="BA5">
        <v>-0.24999999999999922</v>
      </c>
      <c r="BB5">
        <v>-0.24999999999999978</v>
      </c>
      <c r="BC5">
        <v>-2.7500000000000009</v>
      </c>
      <c r="BD5">
        <v>2.2759805439914768E-17</v>
      </c>
      <c r="BE5">
        <v>1.7500000000000004</v>
      </c>
      <c r="BF5">
        <v>-1.2500000000000002</v>
      </c>
      <c r="BG5">
        <v>0.74999999999999856</v>
      </c>
      <c r="BH5">
        <v>-2.4999999999999991</v>
      </c>
      <c r="BI5">
        <v>-1.4999999999999969</v>
      </c>
      <c r="BJ5">
        <v>2.5000000000000004</v>
      </c>
      <c r="BK5">
        <v>1.0000000000000004</v>
      </c>
    </row>
    <row r="6" spans="1:63" x14ac:dyDescent="0.3">
      <c r="A6" t="s">
        <v>6</v>
      </c>
      <c r="B6">
        <v>0.75000000000000056</v>
      </c>
      <c r="C6">
        <v>-0.250000000000001</v>
      </c>
      <c r="D6">
        <v>6.9999999999999991</v>
      </c>
      <c r="E6">
        <v>0</v>
      </c>
      <c r="F6">
        <v>0</v>
      </c>
      <c r="G6">
        <v>-0.49999999999999856</v>
      </c>
      <c r="H6">
        <v>0.99999999999999922</v>
      </c>
      <c r="I6">
        <v>1.4999999999999993</v>
      </c>
      <c r="J6">
        <v>-0.74999999999999778</v>
      </c>
      <c r="K6">
        <v>-0.75000000000000011</v>
      </c>
      <c r="L6">
        <v>0.50000000000000011</v>
      </c>
      <c r="M6">
        <v>0.24999999999999992</v>
      </c>
      <c r="N6">
        <v>0</v>
      </c>
      <c r="O6">
        <v>3.0000000000000027</v>
      </c>
      <c r="P6">
        <v>2.25</v>
      </c>
      <c r="Q6">
        <v>4.0000000000000009</v>
      </c>
      <c r="R6">
        <v>1.7500000000000018</v>
      </c>
      <c r="S6">
        <v>2.2500000000000004</v>
      </c>
      <c r="T6">
        <v>1.0000000000000002</v>
      </c>
      <c r="U6">
        <v>-0.50000000000000089</v>
      </c>
      <c r="V6">
        <v>0.75</v>
      </c>
      <c r="W6">
        <v>0.75</v>
      </c>
      <c r="X6">
        <v>2.0000000000000013</v>
      </c>
      <c r="Y6">
        <v>1.2499999999999993</v>
      </c>
      <c r="Z6">
        <v>5.9999999999999982</v>
      </c>
      <c r="AA6">
        <v>-0.24999999999999831</v>
      </c>
      <c r="AB6">
        <v>-0.49999999999999989</v>
      </c>
      <c r="AC6">
        <v>-0.24999999999999922</v>
      </c>
      <c r="AD6">
        <v>0</v>
      </c>
      <c r="AE6">
        <v>1.7500000000000004</v>
      </c>
      <c r="AF6">
        <v>-1.4548180793995024E-16</v>
      </c>
      <c r="AG6">
        <v>1.2499999999999996</v>
      </c>
      <c r="AH6">
        <v>2.25</v>
      </c>
      <c r="AI6">
        <v>0.25000000000000017</v>
      </c>
      <c r="AJ6">
        <v>1.0000000000000007</v>
      </c>
      <c r="AK6">
        <v>5.25</v>
      </c>
      <c r="AL6">
        <v>-4.3263858607696062E-16</v>
      </c>
      <c r="AM6">
        <v>-1.1343731449299406E-16</v>
      </c>
      <c r="AN6">
        <v>1.4999999999999996</v>
      </c>
      <c r="AO6">
        <v>0.25000000000000216</v>
      </c>
      <c r="AP6">
        <v>-3.2500000000000031</v>
      </c>
      <c r="AQ6">
        <v>0.50000000000000011</v>
      </c>
      <c r="AR6">
        <v>4.4999999999999982</v>
      </c>
      <c r="AS6">
        <v>-0.75000000000000078</v>
      </c>
      <c r="AT6">
        <v>0</v>
      </c>
      <c r="AU6">
        <v>3.2499999999999982</v>
      </c>
      <c r="AV6">
        <v>-0.25000000000000017</v>
      </c>
      <c r="AW6">
        <v>0.50000000000000033</v>
      </c>
      <c r="AX6">
        <v>2</v>
      </c>
      <c r="AY6">
        <v>-1.0000000000000022</v>
      </c>
      <c r="AZ6">
        <v>0.49999999999999961</v>
      </c>
      <c r="BA6">
        <v>1.7500000000000004</v>
      </c>
      <c r="BB6">
        <v>1.2500000000000002</v>
      </c>
      <c r="BC6">
        <v>0.749999999999999</v>
      </c>
      <c r="BD6">
        <v>-0.50000000000000011</v>
      </c>
      <c r="BE6">
        <v>2.7500000000000004</v>
      </c>
      <c r="BF6">
        <v>-0.75000000000000056</v>
      </c>
      <c r="BG6">
        <v>-1.2500000000000013</v>
      </c>
      <c r="BH6">
        <v>1.5000000000000002</v>
      </c>
      <c r="BI6">
        <v>4.0000000000000009</v>
      </c>
      <c r="BJ6">
        <v>2.5</v>
      </c>
      <c r="BK6">
        <v>2.0000000000000004</v>
      </c>
    </row>
    <row r="7" spans="1:63" x14ac:dyDescent="0.3">
      <c r="A7" t="s">
        <v>7</v>
      </c>
      <c r="B7">
        <v>0.50000000000000033</v>
      </c>
      <c r="C7">
        <v>-1.0000000000000007</v>
      </c>
      <c r="D7">
        <v>1.5</v>
      </c>
      <c r="E7">
        <v>0</v>
      </c>
      <c r="F7">
        <v>0</v>
      </c>
      <c r="G7">
        <v>1.0000000000000004</v>
      </c>
      <c r="H7">
        <v>2.6521370819096691E-16</v>
      </c>
      <c r="I7">
        <v>-3.0499576441961196E-16</v>
      </c>
      <c r="J7">
        <v>1.8034532156985753E-15</v>
      </c>
      <c r="K7">
        <v>-1.5</v>
      </c>
      <c r="L7">
        <v>7.9564112457290076E-17</v>
      </c>
      <c r="M7">
        <v>4.3760261851509544E-16</v>
      </c>
      <c r="N7">
        <v>0</v>
      </c>
      <c r="O7">
        <v>2.7051798235478628E-15</v>
      </c>
      <c r="P7">
        <v>-2.2543165196232192E-16</v>
      </c>
      <c r="Q7">
        <v>1.1669403160402544E-15</v>
      </c>
      <c r="R7">
        <v>-1.9999999999999987</v>
      </c>
      <c r="S7">
        <v>6.89555641296514E-16</v>
      </c>
      <c r="T7">
        <v>-0.49999999999999939</v>
      </c>
      <c r="U7">
        <v>-1.0000000000000011</v>
      </c>
      <c r="V7">
        <v>-1.4999999999999998</v>
      </c>
      <c r="W7">
        <v>3.712991914673537E-16</v>
      </c>
      <c r="X7">
        <v>-0.49999999999999895</v>
      </c>
      <c r="Y7">
        <v>-2.3206199466709607E-16</v>
      </c>
      <c r="Z7">
        <v>-8.1799287607937972E-16</v>
      </c>
      <c r="AA7">
        <v>0.50000000000000122</v>
      </c>
      <c r="AB7">
        <v>0.5</v>
      </c>
      <c r="AC7">
        <v>0.50000000000000067</v>
      </c>
      <c r="AD7">
        <v>0</v>
      </c>
      <c r="AE7">
        <v>0.50000000000000044</v>
      </c>
      <c r="AF7">
        <v>-2.6521370819096693E-17</v>
      </c>
      <c r="AG7">
        <v>-0.50000000000000056</v>
      </c>
      <c r="AH7">
        <v>-1.5</v>
      </c>
      <c r="AI7">
        <v>1.3260685409548346E-16</v>
      </c>
      <c r="AJ7">
        <v>0.50000000000000067</v>
      </c>
      <c r="AK7">
        <v>6.6303427047741731E-16</v>
      </c>
      <c r="AL7">
        <v>-3.4842953127240568E-16</v>
      </c>
      <c r="AM7">
        <v>2.1905352909895488E-17</v>
      </c>
      <c r="AN7">
        <v>-0.49999999999999989</v>
      </c>
      <c r="AO7">
        <v>9.9455140571612606E-16</v>
      </c>
      <c r="AP7">
        <v>-2.5000000000000018</v>
      </c>
      <c r="AQ7">
        <v>-0.49999999999999967</v>
      </c>
      <c r="AR7">
        <v>2.9999999999999987</v>
      </c>
      <c r="AS7">
        <v>0.49999999999999906</v>
      </c>
      <c r="AT7">
        <v>0</v>
      </c>
      <c r="AU7">
        <v>-5.7020947261057892E-16</v>
      </c>
      <c r="AV7">
        <v>-1.0608548327638677E-16</v>
      </c>
      <c r="AW7">
        <v>0.50000000000000011</v>
      </c>
      <c r="AX7">
        <v>7.781987735723486E-17</v>
      </c>
      <c r="AY7">
        <v>-1.6973677324221884E-15</v>
      </c>
      <c r="AZ7">
        <v>-1.0000000000000002</v>
      </c>
      <c r="BA7">
        <v>1.4999999999999998</v>
      </c>
      <c r="BB7">
        <v>1.0000000000000004</v>
      </c>
      <c r="BC7">
        <v>-7.425983829347074E-16</v>
      </c>
      <c r="BD7">
        <v>-0.50000000000000033</v>
      </c>
      <c r="BE7">
        <v>0.50000000000000056</v>
      </c>
      <c r="BF7">
        <v>-1.0000000000000002</v>
      </c>
      <c r="BG7">
        <v>0.49999999999999928</v>
      </c>
      <c r="BH7">
        <v>-1.0000000000000002</v>
      </c>
      <c r="BI7">
        <v>-0.49999999999999872</v>
      </c>
      <c r="BJ7">
        <v>0.99999999999999978</v>
      </c>
      <c r="BK7">
        <v>2.6521370819096693E-17</v>
      </c>
    </row>
    <row r="8" spans="1:63" ht="15" thickBot="1" x14ac:dyDescent="0.35">
      <c r="A8" t="s">
        <v>9</v>
      </c>
      <c r="B8" s="4">
        <v>-0.99999999999999989</v>
      </c>
      <c r="C8" s="4">
        <v>-0.49999999999999978</v>
      </c>
      <c r="D8" s="4">
        <v>-0.50000000000000122</v>
      </c>
      <c r="E8" s="4">
        <v>0</v>
      </c>
      <c r="F8" s="4">
        <v>0</v>
      </c>
      <c r="G8" s="4">
        <v>0.99999999999999956</v>
      </c>
      <c r="H8" s="4">
        <v>0</v>
      </c>
      <c r="I8" s="4">
        <v>-4.5715215232519518E-16</v>
      </c>
      <c r="J8" s="4">
        <v>-0.50000000000000067</v>
      </c>
      <c r="K8" s="4">
        <v>-2.5839034696641466E-16</v>
      </c>
      <c r="L8" s="4">
        <v>1.9876180535878052E-16</v>
      </c>
      <c r="M8" s="4">
        <v>-0.49999999999999911</v>
      </c>
      <c r="N8" s="4">
        <v>0</v>
      </c>
      <c r="O8" s="4">
        <v>3.1801888857404881E-16</v>
      </c>
      <c r="P8" s="4">
        <v>-0.5</v>
      </c>
      <c r="Q8" s="4">
        <v>-2.3851416643053663E-16</v>
      </c>
      <c r="R8" s="4">
        <v>0.50000000000000044</v>
      </c>
      <c r="S8" s="4">
        <v>-1.4999999999999993</v>
      </c>
      <c r="T8" s="4">
        <v>-0.50000000000000022</v>
      </c>
      <c r="U8" s="4">
        <v>0.99999999999999878</v>
      </c>
      <c r="V8" s="4">
        <v>-0.99999999999999989</v>
      </c>
      <c r="W8" s="4">
        <v>-0.49999999999999978</v>
      </c>
      <c r="X8" s="4">
        <v>-0.49999999999999944</v>
      </c>
      <c r="Y8" s="4">
        <v>-0.50000000000000011</v>
      </c>
      <c r="Z8" s="4">
        <v>-8.3479958250687813E-16</v>
      </c>
      <c r="AA8" s="4">
        <v>-1.9999999999999991</v>
      </c>
      <c r="AB8" s="4">
        <v>0.49999999999999994</v>
      </c>
      <c r="AC8" s="4">
        <v>1.9999999999999998</v>
      </c>
      <c r="AD8" s="4">
        <v>0</v>
      </c>
      <c r="AE8" s="4">
        <v>-0.99999999999999989</v>
      </c>
      <c r="AF8" s="4">
        <v>1.9876180535878052E-16</v>
      </c>
      <c r="AG8" s="4">
        <v>-0.99999999999999989</v>
      </c>
      <c r="AH8" s="4">
        <v>-1.0000000000000002</v>
      </c>
      <c r="AI8" s="4">
        <v>0.49999999999999983</v>
      </c>
      <c r="AJ8" s="4">
        <v>0.50000000000000011</v>
      </c>
      <c r="AK8" s="4">
        <v>0.49999999999999895</v>
      </c>
      <c r="AL8" s="4">
        <v>8.8267973090152781E-32</v>
      </c>
      <c r="AM8" s="4">
        <v>7.9504722143512202E-17</v>
      </c>
      <c r="AN8" s="4">
        <v>-0.49999999999999961</v>
      </c>
      <c r="AO8" s="4">
        <v>4.4999999999999956</v>
      </c>
      <c r="AP8" s="4">
        <v>-1.9999999999999984</v>
      </c>
      <c r="AQ8" s="4">
        <v>0.49999999999999983</v>
      </c>
      <c r="AR8" s="4">
        <v>-0.99999999999999989</v>
      </c>
      <c r="AS8" s="4">
        <v>0</v>
      </c>
      <c r="AT8" s="4">
        <v>0</v>
      </c>
      <c r="AU8" s="4">
        <v>-0.50000000000000044</v>
      </c>
      <c r="AV8" s="4">
        <v>0.49999999999999978</v>
      </c>
      <c r="AW8" s="4">
        <v>-0.50000000000000033</v>
      </c>
      <c r="AX8" s="4">
        <v>0.99999999999999956</v>
      </c>
      <c r="AY8" s="4">
        <v>0.99999999999999989</v>
      </c>
      <c r="AZ8" s="4">
        <v>-1.9999999999999984</v>
      </c>
      <c r="BA8" s="4">
        <v>-1.0000000000000009</v>
      </c>
      <c r="BB8" s="4">
        <v>0.50000000000000011</v>
      </c>
      <c r="BC8" s="4">
        <v>0.49999999999999994</v>
      </c>
      <c r="BD8" s="4">
        <v>0.49999999999999961</v>
      </c>
      <c r="BE8" s="4">
        <v>-6.3603777714809761E-16</v>
      </c>
      <c r="BF8" s="4">
        <v>-0.49999999999999994</v>
      </c>
      <c r="BG8" s="4">
        <v>1.113066110009171E-15</v>
      </c>
      <c r="BH8" s="4">
        <v>-2.0000000000000004</v>
      </c>
      <c r="BI8" s="4">
        <v>0.49999999999999767</v>
      </c>
      <c r="BJ8" s="4">
        <v>0.99999999999999922</v>
      </c>
      <c r="BK8" s="4">
        <v>-5.5653305500458549E-16</v>
      </c>
    </row>
    <row r="10" spans="1:63" x14ac:dyDescent="0.3">
      <c r="K10" s="17" t="s">
        <v>55</v>
      </c>
    </row>
    <row r="12" spans="1:63" x14ac:dyDescent="0.3">
      <c r="A12" s="12" t="s">
        <v>51</v>
      </c>
      <c r="B12" s="12">
        <v>1</v>
      </c>
      <c r="C12" s="12">
        <v>2</v>
      </c>
      <c r="D12" s="12">
        <v>3</v>
      </c>
      <c r="E12" s="12">
        <v>4</v>
      </c>
      <c r="F12" s="12">
        <v>5</v>
      </c>
      <c r="G12" s="12">
        <v>6</v>
      </c>
      <c r="H12" s="12">
        <v>7</v>
      </c>
      <c r="I12" s="12">
        <v>8</v>
      </c>
      <c r="J12" s="12">
        <v>9</v>
      </c>
      <c r="K12" s="12">
        <v>10</v>
      </c>
      <c r="L12" s="12">
        <v>11</v>
      </c>
      <c r="M12" s="12">
        <v>12</v>
      </c>
      <c r="N12" s="12">
        <v>13</v>
      </c>
      <c r="O12" s="12">
        <v>14</v>
      </c>
      <c r="P12" s="12">
        <v>15</v>
      </c>
      <c r="Q12" s="12">
        <v>16</v>
      </c>
      <c r="R12" s="12">
        <v>17</v>
      </c>
      <c r="S12" s="12">
        <v>18</v>
      </c>
      <c r="T12" s="12">
        <v>19</v>
      </c>
      <c r="U12" s="12">
        <v>20</v>
      </c>
      <c r="V12" s="12">
        <v>21</v>
      </c>
      <c r="W12" s="12">
        <v>22</v>
      </c>
      <c r="X12" s="12">
        <v>23</v>
      </c>
      <c r="Y12" s="12">
        <v>24</v>
      </c>
      <c r="Z12" s="12">
        <v>25</v>
      </c>
      <c r="AA12" s="12">
        <v>26</v>
      </c>
      <c r="AB12" s="12">
        <v>27</v>
      </c>
      <c r="AC12" s="12">
        <v>28</v>
      </c>
      <c r="AD12" s="12">
        <v>29</v>
      </c>
      <c r="AE12" s="12">
        <v>30</v>
      </c>
      <c r="AF12" s="12">
        <v>31</v>
      </c>
      <c r="AG12" s="12">
        <v>32</v>
      </c>
      <c r="AH12" s="12">
        <v>33</v>
      </c>
      <c r="AI12" s="12">
        <v>34</v>
      </c>
      <c r="AJ12" s="12">
        <v>35</v>
      </c>
      <c r="AK12" s="12">
        <v>36</v>
      </c>
      <c r="AL12" s="12">
        <v>37</v>
      </c>
      <c r="AM12" s="12">
        <v>38</v>
      </c>
      <c r="AN12" s="12">
        <v>39</v>
      </c>
      <c r="AO12" s="12">
        <v>40</v>
      </c>
      <c r="AP12" s="12">
        <v>41</v>
      </c>
      <c r="AQ12" s="12">
        <v>42</v>
      </c>
      <c r="AR12" s="12">
        <v>43</v>
      </c>
      <c r="AS12" s="12">
        <v>44</v>
      </c>
      <c r="AT12" s="12">
        <v>45</v>
      </c>
      <c r="AU12" s="12">
        <v>46</v>
      </c>
      <c r="AV12" s="12">
        <v>47</v>
      </c>
      <c r="AW12" s="12">
        <v>48</v>
      </c>
      <c r="AX12" s="12">
        <v>49</v>
      </c>
      <c r="AY12" s="12">
        <v>50</v>
      </c>
      <c r="AZ12" s="12">
        <v>51</v>
      </c>
      <c r="BA12" s="12">
        <v>52</v>
      </c>
      <c r="BB12" s="12">
        <v>53</v>
      </c>
      <c r="BC12" s="12">
        <v>54</v>
      </c>
      <c r="BD12" s="12">
        <v>55</v>
      </c>
      <c r="BE12" s="12">
        <v>56</v>
      </c>
      <c r="BF12" s="12">
        <v>57</v>
      </c>
      <c r="BG12" s="12">
        <v>58</v>
      </c>
      <c r="BH12" s="12">
        <v>59</v>
      </c>
      <c r="BI12" s="12">
        <v>60</v>
      </c>
      <c r="BJ12" s="12">
        <v>61</v>
      </c>
      <c r="BK12" s="12">
        <v>62</v>
      </c>
    </row>
    <row r="13" spans="1:63" x14ac:dyDescent="0.3">
      <c r="A13" s="12" t="s">
        <v>49</v>
      </c>
      <c r="B13">
        <v>-1.1250000000000007</v>
      </c>
      <c r="C13">
        <v>0.62500000000000044</v>
      </c>
      <c r="D13">
        <v>-3.7500000000000027</v>
      </c>
      <c r="E13">
        <v>0</v>
      </c>
      <c r="F13">
        <v>0</v>
      </c>
      <c r="G13">
        <v>-1.2500000000000009</v>
      </c>
      <c r="H13">
        <v>1.9999999999999996</v>
      </c>
      <c r="I13">
        <v>0.24999999999999939</v>
      </c>
      <c r="J13">
        <v>-3.6250000000000049</v>
      </c>
      <c r="K13">
        <v>1.1250000000000002</v>
      </c>
      <c r="L13">
        <v>-0.24999999999999978</v>
      </c>
      <c r="M13">
        <v>-0.62499999999999989</v>
      </c>
      <c r="N13">
        <v>0</v>
      </c>
      <c r="O13">
        <v>-1.500000000000002</v>
      </c>
      <c r="P13">
        <v>-0.62499999999999978</v>
      </c>
      <c r="Q13">
        <v>-1.5000000000000024</v>
      </c>
      <c r="R13">
        <v>1.1249999999999996</v>
      </c>
      <c r="S13">
        <v>-2.625</v>
      </c>
      <c r="T13">
        <v>-0.750000000000001</v>
      </c>
      <c r="U13">
        <v>2.75</v>
      </c>
      <c r="V13">
        <v>-1.6250000000000007</v>
      </c>
      <c r="W13">
        <v>-0.87500000000000044</v>
      </c>
      <c r="X13">
        <v>-2.25</v>
      </c>
      <c r="Y13">
        <v>-0.12500000000000053</v>
      </c>
      <c r="Z13">
        <v>1.1846681862633941E-16</v>
      </c>
      <c r="AA13">
        <v>-3.6250000000000013</v>
      </c>
      <c r="AB13">
        <v>2.0771509446240278E-16</v>
      </c>
      <c r="AC13">
        <v>-0.62500000000000044</v>
      </c>
      <c r="AD13">
        <v>0</v>
      </c>
      <c r="AE13">
        <v>-1.1250000000000009</v>
      </c>
      <c r="AF13">
        <v>1.0000000000000002</v>
      </c>
      <c r="AG13">
        <v>-0.37500000000000028</v>
      </c>
      <c r="AH13">
        <v>-1.3750000000000007</v>
      </c>
      <c r="AI13">
        <v>0.37499999999999978</v>
      </c>
      <c r="AJ13">
        <v>-0.25000000000000044</v>
      </c>
      <c r="AK13">
        <v>0.374999999999998</v>
      </c>
      <c r="AL13">
        <v>3.9053405867468347E-16</v>
      </c>
      <c r="AM13">
        <v>9.8562691794219881E-18</v>
      </c>
      <c r="AN13">
        <v>-0.49999999999999917</v>
      </c>
      <c r="AO13">
        <v>0.37499999999999656</v>
      </c>
      <c r="AP13">
        <v>1.8750000000000033</v>
      </c>
      <c r="AQ13">
        <v>-3.3886017204988989E-16</v>
      </c>
      <c r="AR13">
        <v>-0.24999999999999911</v>
      </c>
      <c r="AS13">
        <v>0.62500000000000078</v>
      </c>
      <c r="AT13">
        <v>0</v>
      </c>
      <c r="AU13">
        <v>-0.62500000000000044</v>
      </c>
      <c r="AV13">
        <v>0.62499999999999989</v>
      </c>
      <c r="AW13">
        <v>-1.0000000000000011</v>
      </c>
      <c r="AX13">
        <v>-1.7485847502572364E-16</v>
      </c>
      <c r="AY13">
        <v>3.0000000000000027</v>
      </c>
      <c r="AZ13">
        <v>0.25000000000000194</v>
      </c>
      <c r="BA13">
        <v>-1.6250000000000016</v>
      </c>
      <c r="BB13">
        <v>-1.6250000000000007</v>
      </c>
      <c r="BC13">
        <v>1.6250000000000007</v>
      </c>
      <c r="BD13">
        <v>-1.1949601791827858E-16</v>
      </c>
      <c r="BE13">
        <v>-1.6250000000000018</v>
      </c>
      <c r="BF13">
        <v>1.3750000000000004</v>
      </c>
      <c r="BG13">
        <v>1.3750000000000018</v>
      </c>
      <c r="BH13">
        <v>-1.2500000000000013</v>
      </c>
      <c r="BI13">
        <v>-3.7500000000000044</v>
      </c>
      <c r="BJ13">
        <v>0.74999999999999967</v>
      </c>
      <c r="BK13">
        <v>-1.0000000000000011</v>
      </c>
    </row>
    <row r="14" spans="1:63" x14ac:dyDescent="0.3">
      <c r="A14" s="12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</row>
    <row r="15" spans="1:63" x14ac:dyDescent="0.3">
      <c r="A15" s="12" t="s">
        <v>47</v>
      </c>
      <c r="B15">
        <v>-1.3750000000000004</v>
      </c>
      <c r="C15">
        <v>1.3749999999999998</v>
      </c>
      <c r="D15">
        <v>-2.7500000000000044</v>
      </c>
      <c r="E15">
        <v>0</v>
      </c>
      <c r="F15">
        <v>0</v>
      </c>
      <c r="G15">
        <v>-2.7500000000000009</v>
      </c>
      <c r="H15">
        <v>0</v>
      </c>
      <c r="I15">
        <v>0.749999999999999</v>
      </c>
      <c r="J15">
        <v>-2.375000000000004</v>
      </c>
      <c r="K15">
        <v>0.37500000000000017</v>
      </c>
      <c r="L15">
        <v>-0.74999999999999978</v>
      </c>
      <c r="M15">
        <v>-0.37499999999999978</v>
      </c>
      <c r="N15">
        <v>0</v>
      </c>
      <c r="O15">
        <v>-4.5000000000000018</v>
      </c>
      <c r="P15">
        <v>-0.37500000000000039</v>
      </c>
      <c r="Q15">
        <v>-2.5000000000000031</v>
      </c>
      <c r="R15">
        <v>-1.1250000000000004</v>
      </c>
      <c r="S15">
        <v>-1.3750000000000002</v>
      </c>
      <c r="T15">
        <v>-0.75000000000000122</v>
      </c>
      <c r="U15">
        <v>4.25</v>
      </c>
      <c r="V15">
        <v>-0.87500000000000155</v>
      </c>
      <c r="W15">
        <v>-1.1250000000000004</v>
      </c>
      <c r="X15">
        <v>-3.2500000000000004</v>
      </c>
      <c r="Y15">
        <v>0.12499999999999906</v>
      </c>
      <c r="Z15">
        <v>7.4476024597418191E-17</v>
      </c>
      <c r="AA15">
        <v>-4.875</v>
      </c>
      <c r="AB15">
        <v>0.50000000000000022</v>
      </c>
      <c r="AC15">
        <v>0.12500000000000008</v>
      </c>
      <c r="AD15">
        <v>0</v>
      </c>
      <c r="AE15">
        <v>-1.3750000000000007</v>
      </c>
      <c r="AF15">
        <v>-1.9999999999999998</v>
      </c>
      <c r="AG15">
        <v>-0.12500000000000072</v>
      </c>
      <c r="AH15">
        <v>-1.1250000000000016</v>
      </c>
      <c r="AI15">
        <v>-0.375</v>
      </c>
      <c r="AJ15">
        <v>-2.2499999999999991</v>
      </c>
      <c r="AK15">
        <v>0.62499999999999734</v>
      </c>
      <c r="AL15">
        <v>1.0000000000000002</v>
      </c>
      <c r="AM15">
        <v>2.792850922403182E-17</v>
      </c>
      <c r="AN15">
        <v>5.9580819677934553E-16</v>
      </c>
      <c r="AO15">
        <v>-0.37500000000000255</v>
      </c>
      <c r="AP15">
        <v>3.6250000000000022</v>
      </c>
      <c r="AQ15">
        <v>-0.50000000000000056</v>
      </c>
      <c r="AR15">
        <v>1.2500000000000004</v>
      </c>
      <c r="AS15">
        <v>1.875</v>
      </c>
      <c r="AT15">
        <v>0</v>
      </c>
      <c r="AU15">
        <v>-0.37500000000000122</v>
      </c>
      <c r="AV15">
        <v>0.37499999999999994</v>
      </c>
      <c r="AW15">
        <v>-0.50000000000000144</v>
      </c>
      <c r="AX15">
        <v>-1.0000000000000002</v>
      </c>
      <c r="AY15">
        <v>3.0000000000000018</v>
      </c>
      <c r="AZ15">
        <v>-1.2499999999999976</v>
      </c>
      <c r="BA15">
        <v>-2.8750000000000013</v>
      </c>
      <c r="BB15">
        <v>-1.3750000000000011</v>
      </c>
      <c r="BC15">
        <v>1.3750000000000004</v>
      </c>
      <c r="BD15">
        <v>0.49999999999999978</v>
      </c>
      <c r="BE15">
        <v>-1.8750000000000016</v>
      </c>
      <c r="BF15">
        <v>0.62500000000000033</v>
      </c>
      <c r="BG15">
        <v>1.1250000000000013</v>
      </c>
      <c r="BH15">
        <v>-1.7500000000000027</v>
      </c>
      <c r="BI15">
        <v>-3.7500000000000049</v>
      </c>
      <c r="BJ15">
        <v>0.249999999999999</v>
      </c>
      <c r="BK15">
        <v>-1.0000000000000013</v>
      </c>
    </row>
    <row r="16" spans="1:63" x14ac:dyDescent="0.3">
      <c r="A16" s="12" t="s">
        <v>48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</row>
    <row r="17" spans="1:63" x14ac:dyDescent="0.3">
      <c r="A17" s="12" t="s">
        <v>4</v>
      </c>
      <c r="B17">
        <v>-0.49999999999999928</v>
      </c>
      <c r="C17">
        <v>0.99999999999999911</v>
      </c>
      <c r="D17">
        <v>4.4999999999999991</v>
      </c>
      <c r="E17">
        <v>0</v>
      </c>
      <c r="F17">
        <v>0</v>
      </c>
      <c r="G17">
        <v>1</v>
      </c>
      <c r="H17">
        <v>-0.99999999999999933</v>
      </c>
      <c r="I17">
        <v>0.99999999999999911</v>
      </c>
      <c r="J17">
        <v>1.0560327403778453E-15</v>
      </c>
      <c r="K17">
        <v>-0.5</v>
      </c>
      <c r="L17">
        <v>1.2540388791986914E-16</v>
      </c>
      <c r="M17">
        <v>3.9601227764169198E-16</v>
      </c>
      <c r="N17">
        <v>0</v>
      </c>
      <c r="O17">
        <v>1.7952556586423372E-15</v>
      </c>
      <c r="P17">
        <v>0.99999999999999956</v>
      </c>
      <c r="Q17">
        <v>4</v>
      </c>
      <c r="R17">
        <v>1.0000000000000007</v>
      </c>
      <c r="S17">
        <v>3.1680982211335358E-16</v>
      </c>
      <c r="T17">
        <v>1.5</v>
      </c>
      <c r="U17">
        <v>0.99999999999999878</v>
      </c>
      <c r="V17">
        <v>2.4999999999999991</v>
      </c>
      <c r="W17">
        <v>1</v>
      </c>
      <c r="X17">
        <v>0.5</v>
      </c>
      <c r="Y17">
        <v>0.99999999999999933</v>
      </c>
      <c r="Z17">
        <v>3.9999999999999973</v>
      </c>
      <c r="AA17">
        <v>0.50000000000000078</v>
      </c>
      <c r="AB17">
        <v>-0.5</v>
      </c>
      <c r="AC17">
        <v>-1.4999999999999991</v>
      </c>
      <c r="AD17">
        <v>0</v>
      </c>
      <c r="AE17">
        <v>-0.49999999999999944</v>
      </c>
      <c r="AF17">
        <v>-5.2801637018892263E-17</v>
      </c>
      <c r="AG17">
        <v>1.4999999999999998</v>
      </c>
      <c r="AH17">
        <v>2.4999999999999996</v>
      </c>
      <c r="AI17">
        <v>2.3760736658501519E-16</v>
      </c>
      <c r="AJ17">
        <v>-0.49999999999999928</v>
      </c>
      <c r="AK17">
        <v>4</v>
      </c>
      <c r="AL17">
        <v>-3.4842953127240568E-16</v>
      </c>
      <c r="AM17">
        <v>2.1905352909895516E-17</v>
      </c>
      <c r="AN17">
        <v>0.49999999999999944</v>
      </c>
      <c r="AO17">
        <v>1.0692331496325684E-15</v>
      </c>
      <c r="AP17">
        <v>2.4999999999999973</v>
      </c>
      <c r="AQ17">
        <v>0.50000000000000011</v>
      </c>
      <c r="AR17">
        <v>0.99999999999999889</v>
      </c>
      <c r="AS17">
        <v>0.49999999999999906</v>
      </c>
      <c r="AT17">
        <v>0</v>
      </c>
      <c r="AU17">
        <v>4.9999999999999973</v>
      </c>
      <c r="AV17">
        <v>2.6400818509446132E-17</v>
      </c>
      <c r="AW17">
        <v>0.50000000000000011</v>
      </c>
      <c r="AX17">
        <v>0.99999999999999978</v>
      </c>
      <c r="AY17">
        <v>0.99999999999999911</v>
      </c>
      <c r="AZ17">
        <v>-0.99999999999999978</v>
      </c>
      <c r="BA17">
        <v>2.5000000000000004</v>
      </c>
      <c r="BB17">
        <v>1</v>
      </c>
      <c r="BC17">
        <v>0.99999999999999911</v>
      </c>
      <c r="BD17">
        <v>0.49999999999999978</v>
      </c>
      <c r="BE17">
        <v>1.5</v>
      </c>
      <c r="BF17">
        <v>-1.5840491105667679E-16</v>
      </c>
      <c r="BG17">
        <v>0.49999999999999928</v>
      </c>
      <c r="BH17">
        <v>2.9999999999999991</v>
      </c>
      <c r="BI17">
        <v>3.5</v>
      </c>
      <c r="BJ17">
        <v>1.9999999999999996</v>
      </c>
      <c r="BK17">
        <v>1.9999999999999996</v>
      </c>
    </row>
    <row r="18" spans="1:63" x14ac:dyDescent="0.3">
      <c r="A18" s="12" t="s">
        <v>5</v>
      </c>
      <c r="B18">
        <v>0.75000000000000044</v>
      </c>
      <c r="C18">
        <v>-1.7500000000000011</v>
      </c>
      <c r="D18">
        <v>4.5</v>
      </c>
      <c r="E18">
        <v>0</v>
      </c>
      <c r="F18">
        <v>0</v>
      </c>
      <c r="G18">
        <v>-1.4999999999999987</v>
      </c>
      <c r="H18">
        <v>0.99999999999999978</v>
      </c>
      <c r="I18">
        <v>0.49999999999999972</v>
      </c>
      <c r="J18">
        <v>2.7500000000000022</v>
      </c>
      <c r="K18">
        <v>-0.75</v>
      </c>
      <c r="L18">
        <v>0.5</v>
      </c>
      <c r="M18">
        <v>-4.2500000000000009</v>
      </c>
      <c r="N18">
        <v>0</v>
      </c>
      <c r="O18">
        <v>3.0000000000000022</v>
      </c>
      <c r="P18">
        <v>0.74999999999999967</v>
      </c>
      <c r="Q18">
        <v>3.0000000000000009</v>
      </c>
      <c r="R18">
        <v>-0.749999999999999</v>
      </c>
      <c r="S18">
        <v>0.75000000000000022</v>
      </c>
      <c r="T18">
        <v>-0.49999999999999944</v>
      </c>
      <c r="U18">
        <v>-1.5</v>
      </c>
      <c r="V18">
        <v>-0.25000000000000022</v>
      </c>
      <c r="W18">
        <v>1.2500000000000002</v>
      </c>
      <c r="X18">
        <v>-1.4999999999999989</v>
      </c>
      <c r="Y18">
        <v>0.74999999999999967</v>
      </c>
      <c r="Z18">
        <v>-1.4566275481545451E-15</v>
      </c>
      <c r="AA18">
        <v>2.7500000000000009</v>
      </c>
      <c r="AB18">
        <v>1.1379902719957383E-16</v>
      </c>
      <c r="AC18">
        <v>0.750000000000001</v>
      </c>
      <c r="AD18">
        <v>0</v>
      </c>
      <c r="AE18">
        <v>0.75000000000000033</v>
      </c>
      <c r="AF18">
        <v>-2.7311766527897722E-16</v>
      </c>
      <c r="AG18">
        <v>0.24999999999999958</v>
      </c>
      <c r="AH18">
        <v>2.2500000000000004</v>
      </c>
      <c r="AI18">
        <v>-0.24999999999999978</v>
      </c>
      <c r="AJ18">
        <v>1.5000000000000007</v>
      </c>
      <c r="AK18">
        <v>0.75000000000000133</v>
      </c>
      <c r="AL18">
        <v>-4.3263858607696062E-16</v>
      </c>
      <c r="AM18">
        <v>0.99999999999999978</v>
      </c>
      <c r="AN18">
        <v>-5.4623533055795445E-16</v>
      </c>
      <c r="AO18">
        <v>-0.24999999999999575</v>
      </c>
      <c r="AP18">
        <v>0.74999999999999623</v>
      </c>
      <c r="AQ18">
        <v>-0.99999999999999967</v>
      </c>
      <c r="AR18">
        <v>2.4999999999999987</v>
      </c>
      <c r="AS18">
        <v>-0.75000000000000078</v>
      </c>
      <c r="AT18">
        <v>0</v>
      </c>
      <c r="AU18">
        <v>4.7499999999999991</v>
      </c>
      <c r="AV18">
        <v>0.25000000000000006</v>
      </c>
      <c r="AW18">
        <v>-0.99999999999999944</v>
      </c>
      <c r="AX18">
        <v>-1.0000000000000002</v>
      </c>
      <c r="AY18">
        <v>-1.0000000000000016</v>
      </c>
      <c r="AZ18">
        <v>-1.5000000000000016</v>
      </c>
      <c r="BA18">
        <v>-0.24999999999999922</v>
      </c>
      <c r="BB18">
        <v>-0.24999999999999978</v>
      </c>
      <c r="BC18">
        <v>-2.7500000000000009</v>
      </c>
      <c r="BD18">
        <v>2.2759805439914768E-17</v>
      </c>
      <c r="BE18">
        <v>1.7500000000000004</v>
      </c>
      <c r="BF18">
        <v>-1.2500000000000002</v>
      </c>
      <c r="BG18">
        <v>0.74999999999999856</v>
      </c>
      <c r="BH18">
        <v>-2.4999999999999991</v>
      </c>
      <c r="BI18">
        <v>-1.4999999999999969</v>
      </c>
      <c r="BJ18">
        <v>2.5000000000000004</v>
      </c>
      <c r="BK18">
        <v>1.0000000000000004</v>
      </c>
    </row>
    <row r="19" spans="1:63" x14ac:dyDescent="0.3">
      <c r="A19" s="12" t="s">
        <v>6</v>
      </c>
      <c r="B19">
        <v>0.75000000000000056</v>
      </c>
      <c r="C19">
        <v>-0.250000000000001</v>
      </c>
      <c r="D19">
        <v>6.9999999999999991</v>
      </c>
      <c r="E19">
        <v>0</v>
      </c>
      <c r="F19">
        <v>0</v>
      </c>
      <c r="G19">
        <v>-0.49999999999999856</v>
      </c>
      <c r="H19">
        <v>0.99999999999999922</v>
      </c>
      <c r="I19">
        <v>1.4999999999999993</v>
      </c>
      <c r="J19">
        <v>-0.74999999999999778</v>
      </c>
      <c r="K19">
        <v>-0.75000000000000011</v>
      </c>
      <c r="L19">
        <v>0.50000000000000011</v>
      </c>
      <c r="M19">
        <v>0.24999999999999992</v>
      </c>
      <c r="N19">
        <v>0</v>
      </c>
      <c r="O19">
        <v>3.0000000000000027</v>
      </c>
      <c r="P19">
        <v>2.25</v>
      </c>
      <c r="Q19">
        <v>4.0000000000000009</v>
      </c>
      <c r="R19">
        <v>1.7500000000000018</v>
      </c>
      <c r="S19">
        <v>2.2500000000000004</v>
      </c>
      <c r="T19">
        <v>1.0000000000000002</v>
      </c>
      <c r="U19">
        <v>-0.50000000000000089</v>
      </c>
      <c r="V19">
        <v>0.75</v>
      </c>
      <c r="W19">
        <v>0.75</v>
      </c>
      <c r="X19">
        <v>2.0000000000000013</v>
      </c>
      <c r="Y19">
        <v>1.2499999999999993</v>
      </c>
      <c r="Z19">
        <v>5.9999999999999982</v>
      </c>
      <c r="AA19">
        <v>-0.24999999999999831</v>
      </c>
      <c r="AB19">
        <v>-0.49999999999999989</v>
      </c>
      <c r="AC19">
        <v>-0.24999999999999922</v>
      </c>
      <c r="AD19">
        <v>0</v>
      </c>
      <c r="AE19">
        <v>1.7500000000000004</v>
      </c>
      <c r="AF19">
        <v>-1.4548180793995024E-16</v>
      </c>
      <c r="AG19">
        <v>1.2499999999999996</v>
      </c>
      <c r="AH19">
        <v>2.25</v>
      </c>
      <c r="AI19">
        <v>0.25000000000000017</v>
      </c>
      <c r="AJ19">
        <v>1.0000000000000007</v>
      </c>
      <c r="AK19">
        <v>5.25</v>
      </c>
      <c r="AL19">
        <v>-4.3263858607696062E-16</v>
      </c>
      <c r="AM19">
        <v>-1.1343731449299406E-16</v>
      </c>
      <c r="AN19">
        <v>1.4999999999999996</v>
      </c>
      <c r="AO19">
        <v>0.25000000000000216</v>
      </c>
      <c r="AP19">
        <v>-3.2500000000000031</v>
      </c>
      <c r="AQ19">
        <v>0.50000000000000011</v>
      </c>
      <c r="AR19">
        <v>4.4999999999999982</v>
      </c>
      <c r="AS19">
        <v>-0.75000000000000078</v>
      </c>
      <c r="AT19">
        <v>0</v>
      </c>
      <c r="AU19">
        <v>3.2499999999999982</v>
      </c>
      <c r="AV19">
        <v>-0.25000000000000017</v>
      </c>
      <c r="AW19">
        <v>0.50000000000000033</v>
      </c>
      <c r="AX19">
        <v>2</v>
      </c>
      <c r="AY19">
        <v>-1.0000000000000022</v>
      </c>
      <c r="AZ19">
        <v>0.49999999999999961</v>
      </c>
      <c r="BA19">
        <v>1.7500000000000004</v>
      </c>
      <c r="BB19">
        <v>1.2500000000000002</v>
      </c>
      <c r="BC19">
        <v>0.749999999999999</v>
      </c>
      <c r="BD19">
        <v>-0.50000000000000011</v>
      </c>
      <c r="BE19">
        <v>2.7500000000000004</v>
      </c>
      <c r="BF19">
        <v>-0.75000000000000056</v>
      </c>
      <c r="BG19">
        <v>-1.2500000000000013</v>
      </c>
      <c r="BH19">
        <v>1.5000000000000002</v>
      </c>
      <c r="BI19">
        <v>4.0000000000000009</v>
      </c>
      <c r="BJ19">
        <v>2.5</v>
      </c>
      <c r="BK19">
        <v>2.0000000000000004</v>
      </c>
    </row>
    <row r="20" spans="1:63" x14ac:dyDescent="0.3">
      <c r="A20" s="12" t="s">
        <v>38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</row>
    <row r="21" spans="1:63" x14ac:dyDescent="0.3">
      <c r="A21" s="12" t="s">
        <v>7</v>
      </c>
      <c r="B21">
        <v>0.50000000000000033</v>
      </c>
      <c r="C21">
        <v>-1.0000000000000007</v>
      </c>
      <c r="D21">
        <v>1.5</v>
      </c>
      <c r="E21">
        <v>0</v>
      </c>
      <c r="F21">
        <v>0</v>
      </c>
      <c r="G21">
        <v>1.0000000000000004</v>
      </c>
      <c r="H21">
        <v>2.6521370819096691E-16</v>
      </c>
      <c r="I21">
        <v>-3.0499576441961196E-16</v>
      </c>
      <c r="J21">
        <v>1.8034532156985753E-15</v>
      </c>
      <c r="K21">
        <v>-1.5</v>
      </c>
      <c r="L21">
        <v>7.9564112457290076E-17</v>
      </c>
      <c r="M21">
        <v>4.3760261851509544E-16</v>
      </c>
      <c r="N21">
        <v>0</v>
      </c>
      <c r="O21">
        <v>2.7051798235478628E-15</v>
      </c>
      <c r="P21">
        <v>-2.2543165196232192E-16</v>
      </c>
      <c r="Q21">
        <v>1.1669403160402544E-15</v>
      </c>
      <c r="R21">
        <v>-1.9999999999999987</v>
      </c>
      <c r="S21">
        <v>6.89555641296514E-16</v>
      </c>
      <c r="T21">
        <v>-0.49999999999999939</v>
      </c>
      <c r="U21">
        <v>-1.0000000000000011</v>
      </c>
      <c r="V21">
        <v>-1.4999999999999998</v>
      </c>
      <c r="W21">
        <v>3.712991914673537E-16</v>
      </c>
      <c r="X21">
        <v>-0.49999999999999895</v>
      </c>
      <c r="Y21">
        <v>-2.3206199466709607E-16</v>
      </c>
      <c r="Z21">
        <v>-8.1799287607937972E-16</v>
      </c>
      <c r="AA21">
        <v>0.50000000000000122</v>
      </c>
      <c r="AB21">
        <v>0.5</v>
      </c>
      <c r="AC21">
        <v>0.50000000000000067</v>
      </c>
      <c r="AD21">
        <v>0</v>
      </c>
      <c r="AE21">
        <v>0.50000000000000044</v>
      </c>
      <c r="AF21">
        <v>-2.6521370819096693E-17</v>
      </c>
      <c r="AG21">
        <v>-0.50000000000000056</v>
      </c>
      <c r="AH21">
        <v>-1.5</v>
      </c>
      <c r="AI21">
        <v>1.3260685409548346E-16</v>
      </c>
      <c r="AJ21">
        <v>0.50000000000000067</v>
      </c>
      <c r="AK21">
        <v>6.6303427047741731E-16</v>
      </c>
      <c r="AL21">
        <v>-3.4842953127240568E-16</v>
      </c>
      <c r="AM21">
        <v>2.1905352909895488E-17</v>
      </c>
      <c r="AN21">
        <v>-0.49999999999999989</v>
      </c>
      <c r="AO21">
        <v>9.9455140571612606E-16</v>
      </c>
      <c r="AP21">
        <v>-2.5000000000000018</v>
      </c>
      <c r="AQ21">
        <v>-0.49999999999999967</v>
      </c>
      <c r="AR21">
        <v>2.9999999999999987</v>
      </c>
      <c r="AS21">
        <v>0.49999999999999906</v>
      </c>
      <c r="AT21">
        <v>0</v>
      </c>
      <c r="AU21">
        <v>-5.7020947261057892E-16</v>
      </c>
      <c r="AV21">
        <v>-1.0608548327638677E-16</v>
      </c>
      <c r="AW21">
        <v>0.50000000000000011</v>
      </c>
      <c r="AX21">
        <v>7.781987735723486E-17</v>
      </c>
      <c r="AY21">
        <v>-1.6973677324221884E-15</v>
      </c>
      <c r="AZ21">
        <v>-1.0000000000000002</v>
      </c>
      <c r="BA21">
        <v>1.4999999999999998</v>
      </c>
      <c r="BB21">
        <v>1.0000000000000004</v>
      </c>
      <c r="BC21">
        <v>-7.425983829347074E-16</v>
      </c>
      <c r="BD21">
        <v>-0.50000000000000033</v>
      </c>
      <c r="BE21">
        <v>0.50000000000000056</v>
      </c>
      <c r="BF21">
        <v>-1.0000000000000002</v>
      </c>
      <c r="BG21">
        <v>0.49999999999999928</v>
      </c>
      <c r="BH21">
        <v>-1.0000000000000002</v>
      </c>
      <c r="BI21">
        <v>-0.49999999999999872</v>
      </c>
      <c r="BJ21">
        <v>0.99999999999999978</v>
      </c>
      <c r="BK21">
        <v>2.6521370819096693E-17</v>
      </c>
    </row>
    <row r="22" spans="1:63" ht="15" thickBot="1" x14ac:dyDescent="0.35">
      <c r="A22" s="12" t="s">
        <v>9</v>
      </c>
      <c r="B22" s="4">
        <v>-0.99999999999999989</v>
      </c>
      <c r="C22" s="4">
        <v>-0.49999999999999978</v>
      </c>
      <c r="D22" s="4">
        <v>-0.50000000000000122</v>
      </c>
      <c r="E22" s="4">
        <v>0</v>
      </c>
      <c r="F22" s="4">
        <v>0</v>
      </c>
      <c r="G22" s="4">
        <v>0.99999999999999956</v>
      </c>
      <c r="H22" s="4">
        <v>0</v>
      </c>
      <c r="I22" s="4">
        <v>-4.5715215232519518E-16</v>
      </c>
      <c r="J22" s="4">
        <v>-0.50000000000000067</v>
      </c>
      <c r="K22" s="4">
        <v>-2.5839034696641466E-16</v>
      </c>
      <c r="L22" s="4">
        <v>1.9876180535878052E-16</v>
      </c>
      <c r="M22" s="4">
        <v>-0.49999999999999911</v>
      </c>
      <c r="N22" s="4">
        <v>0</v>
      </c>
      <c r="O22" s="4">
        <v>3.1801888857404881E-16</v>
      </c>
      <c r="P22" s="4">
        <v>-0.5</v>
      </c>
      <c r="Q22" s="4">
        <v>-2.3851416643053663E-16</v>
      </c>
      <c r="R22" s="4">
        <v>0.50000000000000044</v>
      </c>
      <c r="S22" s="4">
        <v>-1.4999999999999993</v>
      </c>
      <c r="T22" s="4">
        <v>-0.50000000000000022</v>
      </c>
      <c r="U22" s="4">
        <v>0.99999999999999878</v>
      </c>
      <c r="V22" s="4">
        <v>-0.99999999999999989</v>
      </c>
      <c r="W22" s="4">
        <v>-0.49999999999999978</v>
      </c>
      <c r="X22" s="4">
        <v>-0.49999999999999944</v>
      </c>
      <c r="Y22" s="4">
        <v>-0.50000000000000011</v>
      </c>
      <c r="Z22" s="4">
        <v>-8.3479958250687813E-16</v>
      </c>
      <c r="AA22" s="4">
        <v>-1.9999999999999991</v>
      </c>
      <c r="AB22" s="4">
        <v>0.49999999999999994</v>
      </c>
      <c r="AC22" s="4">
        <v>1.9999999999999998</v>
      </c>
      <c r="AD22" s="4">
        <v>0</v>
      </c>
      <c r="AE22" s="4">
        <v>-0.99999999999999989</v>
      </c>
      <c r="AF22" s="4">
        <v>1.9876180535878052E-16</v>
      </c>
      <c r="AG22" s="4">
        <v>-0.99999999999999989</v>
      </c>
      <c r="AH22" s="4">
        <v>-1.0000000000000002</v>
      </c>
      <c r="AI22" s="4">
        <v>0.49999999999999983</v>
      </c>
      <c r="AJ22" s="4">
        <v>0.50000000000000011</v>
      </c>
      <c r="AK22" s="4">
        <v>0.49999999999999895</v>
      </c>
      <c r="AL22" s="4">
        <v>8.8267973090152781E-32</v>
      </c>
      <c r="AM22" s="4">
        <v>7.9504722143512202E-17</v>
      </c>
      <c r="AN22" s="4">
        <v>-0.49999999999999961</v>
      </c>
      <c r="AO22" s="4">
        <v>4.4999999999999956</v>
      </c>
      <c r="AP22" s="4">
        <v>-1.9999999999999984</v>
      </c>
      <c r="AQ22" s="4">
        <v>0.49999999999999983</v>
      </c>
      <c r="AR22" s="4">
        <v>-0.99999999999999989</v>
      </c>
      <c r="AS22" s="4">
        <v>0</v>
      </c>
      <c r="AT22" s="4">
        <v>0</v>
      </c>
      <c r="AU22" s="4">
        <v>-0.50000000000000044</v>
      </c>
      <c r="AV22" s="4">
        <v>0.49999999999999978</v>
      </c>
      <c r="AW22" s="4">
        <v>-0.50000000000000033</v>
      </c>
      <c r="AX22" s="4">
        <v>0.99999999999999956</v>
      </c>
      <c r="AY22" s="4">
        <v>0.99999999999999989</v>
      </c>
      <c r="AZ22" s="4">
        <v>-1.9999999999999984</v>
      </c>
      <c r="BA22" s="4">
        <v>-1.0000000000000009</v>
      </c>
      <c r="BB22" s="4">
        <v>0.50000000000000011</v>
      </c>
      <c r="BC22" s="4">
        <v>0.49999999999999994</v>
      </c>
      <c r="BD22" s="4">
        <v>0.49999999999999961</v>
      </c>
      <c r="BE22" s="4">
        <v>-6.3603777714809761E-16</v>
      </c>
      <c r="BF22" s="4">
        <v>-0.49999999999999994</v>
      </c>
      <c r="BG22" s="4">
        <v>1.113066110009171E-15</v>
      </c>
      <c r="BH22" s="4">
        <v>-2.0000000000000004</v>
      </c>
      <c r="BI22" s="4">
        <v>0.49999999999999767</v>
      </c>
      <c r="BJ22" s="4">
        <v>0.99999999999999922</v>
      </c>
      <c r="BK22" s="4">
        <v>-5.5653305500458549E-16</v>
      </c>
    </row>
    <row r="23" spans="1:63" x14ac:dyDescent="0.3">
      <c r="A23" s="12" t="s">
        <v>36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</row>
    <row r="24" spans="1:63" x14ac:dyDescent="0.3">
      <c r="A24" s="12" t="s">
        <v>41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</row>
    <row r="27" spans="1:63" x14ac:dyDescent="0.3">
      <c r="K27" s="14" t="s">
        <v>52</v>
      </c>
    </row>
    <row r="29" spans="1:63" x14ac:dyDescent="0.3">
      <c r="A29" s="12" t="s">
        <v>50</v>
      </c>
      <c r="B29">
        <f t="shared" ref="B29:AG29" si="0">MAX(B13:B24)</f>
        <v>0.75000000000000056</v>
      </c>
      <c r="C29">
        <f t="shared" si="0"/>
        <v>1.3749999999999998</v>
      </c>
      <c r="D29">
        <f t="shared" si="0"/>
        <v>6.9999999999999991</v>
      </c>
      <c r="E29">
        <f t="shared" si="0"/>
        <v>0</v>
      </c>
      <c r="F29">
        <f t="shared" si="0"/>
        <v>0</v>
      </c>
      <c r="G29">
        <f t="shared" si="0"/>
        <v>1.0000000000000004</v>
      </c>
      <c r="H29">
        <f t="shared" si="0"/>
        <v>1.9999999999999996</v>
      </c>
      <c r="I29">
        <f t="shared" si="0"/>
        <v>1.4999999999999993</v>
      </c>
      <c r="J29">
        <f t="shared" si="0"/>
        <v>2.7500000000000022</v>
      </c>
      <c r="K29">
        <f t="shared" si="0"/>
        <v>1.1250000000000002</v>
      </c>
      <c r="L29">
        <f t="shared" si="0"/>
        <v>0.50000000000000011</v>
      </c>
      <c r="M29">
        <f t="shared" si="0"/>
        <v>0.24999999999999992</v>
      </c>
      <c r="N29">
        <f t="shared" si="0"/>
        <v>0</v>
      </c>
      <c r="O29">
        <f t="shared" si="0"/>
        <v>3.0000000000000027</v>
      </c>
      <c r="P29">
        <f t="shared" si="0"/>
        <v>2.25</v>
      </c>
      <c r="Q29">
        <f t="shared" si="0"/>
        <v>4.0000000000000009</v>
      </c>
      <c r="R29">
        <f t="shared" si="0"/>
        <v>1.7500000000000018</v>
      </c>
      <c r="S29">
        <f t="shared" si="0"/>
        <v>2.2500000000000004</v>
      </c>
      <c r="T29">
        <f t="shared" si="0"/>
        <v>1.5</v>
      </c>
      <c r="U29">
        <f t="shared" si="0"/>
        <v>4.25</v>
      </c>
      <c r="V29">
        <f t="shared" si="0"/>
        <v>2.4999999999999991</v>
      </c>
      <c r="W29">
        <f t="shared" si="0"/>
        <v>1.2500000000000002</v>
      </c>
      <c r="X29">
        <f t="shared" si="0"/>
        <v>2.0000000000000013</v>
      </c>
      <c r="Y29">
        <f t="shared" si="0"/>
        <v>1.2499999999999993</v>
      </c>
      <c r="Z29">
        <f t="shared" si="0"/>
        <v>5.9999999999999982</v>
      </c>
      <c r="AA29">
        <f t="shared" si="0"/>
        <v>2.7500000000000009</v>
      </c>
      <c r="AB29">
        <f t="shared" si="0"/>
        <v>0.50000000000000022</v>
      </c>
      <c r="AC29">
        <f t="shared" si="0"/>
        <v>1.9999999999999998</v>
      </c>
      <c r="AD29">
        <f t="shared" si="0"/>
        <v>0</v>
      </c>
      <c r="AE29">
        <f t="shared" si="0"/>
        <v>1.7500000000000004</v>
      </c>
      <c r="AF29">
        <f t="shared" si="0"/>
        <v>1.0000000000000002</v>
      </c>
      <c r="AG29">
        <f t="shared" si="0"/>
        <v>1.4999999999999998</v>
      </c>
      <c r="AH29">
        <f t="shared" ref="AH29:BK29" si="1">MAX(AH13:AH24)</f>
        <v>2.4999999999999996</v>
      </c>
      <c r="AI29">
        <f t="shared" si="1"/>
        <v>0.49999999999999983</v>
      </c>
      <c r="AJ29">
        <f t="shared" si="1"/>
        <v>1.5000000000000007</v>
      </c>
      <c r="AK29">
        <f t="shared" si="1"/>
        <v>5.25</v>
      </c>
      <c r="AL29">
        <f t="shared" si="1"/>
        <v>1.0000000000000002</v>
      </c>
      <c r="AM29">
        <f t="shared" si="1"/>
        <v>0.99999999999999978</v>
      </c>
      <c r="AN29">
        <f t="shared" si="1"/>
        <v>1.4999999999999996</v>
      </c>
      <c r="AO29">
        <f t="shared" si="1"/>
        <v>4.4999999999999956</v>
      </c>
      <c r="AP29">
        <f t="shared" si="1"/>
        <v>3.6250000000000022</v>
      </c>
      <c r="AQ29">
        <f t="shared" si="1"/>
        <v>0.50000000000000011</v>
      </c>
      <c r="AR29">
        <f t="shared" si="1"/>
        <v>4.4999999999999982</v>
      </c>
      <c r="AS29">
        <f t="shared" si="1"/>
        <v>1.875</v>
      </c>
      <c r="AT29">
        <f t="shared" si="1"/>
        <v>0</v>
      </c>
      <c r="AU29">
        <f t="shared" si="1"/>
        <v>4.9999999999999973</v>
      </c>
      <c r="AV29">
        <f t="shared" si="1"/>
        <v>0.62499999999999989</v>
      </c>
      <c r="AW29">
        <f t="shared" si="1"/>
        <v>0.50000000000000033</v>
      </c>
      <c r="AX29">
        <f t="shared" si="1"/>
        <v>2</v>
      </c>
      <c r="AY29">
        <f t="shared" si="1"/>
        <v>3.0000000000000027</v>
      </c>
      <c r="AZ29">
        <f t="shared" si="1"/>
        <v>0.49999999999999961</v>
      </c>
      <c r="BA29">
        <f t="shared" si="1"/>
        <v>2.5000000000000004</v>
      </c>
      <c r="BB29">
        <f t="shared" si="1"/>
        <v>1.2500000000000002</v>
      </c>
      <c r="BC29">
        <f t="shared" si="1"/>
        <v>1.6250000000000007</v>
      </c>
      <c r="BD29">
        <f t="shared" si="1"/>
        <v>0.49999999999999978</v>
      </c>
      <c r="BE29">
        <f t="shared" si="1"/>
        <v>2.7500000000000004</v>
      </c>
      <c r="BF29">
        <f t="shared" si="1"/>
        <v>1.3750000000000004</v>
      </c>
      <c r="BG29">
        <f t="shared" si="1"/>
        <v>1.3750000000000018</v>
      </c>
      <c r="BH29">
        <f t="shared" si="1"/>
        <v>2.9999999999999991</v>
      </c>
      <c r="BI29">
        <f t="shared" si="1"/>
        <v>4.0000000000000009</v>
      </c>
      <c r="BJ29">
        <f t="shared" si="1"/>
        <v>2.5000000000000004</v>
      </c>
      <c r="BK29">
        <f t="shared" si="1"/>
        <v>2.0000000000000004</v>
      </c>
    </row>
    <row r="30" spans="1:63" x14ac:dyDescent="0.3">
      <c r="A30" s="12" t="s">
        <v>49</v>
      </c>
      <c r="B30">
        <f>B13-MIN(B12:B13)/B$29</f>
        <v>0.37499999999999911</v>
      </c>
      <c r="C30">
        <f t="shared" ref="C30:BK30" si="2">C13-MIN(C12:C13)/C$29</f>
        <v>0.17045454545454553</v>
      </c>
      <c r="D30">
        <f t="shared" si="2"/>
        <v>-3.2142857142857166</v>
      </c>
      <c r="E30" s="16" t="e">
        <f t="shared" si="2"/>
        <v>#DIV/0!</v>
      </c>
      <c r="F30" s="16" t="e">
        <f t="shared" si="2"/>
        <v>#DIV/0!</v>
      </c>
      <c r="G30">
        <f t="shared" si="2"/>
        <v>0</v>
      </c>
      <c r="H30">
        <f t="shared" si="2"/>
        <v>0.99999999999999956</v>
      </c>
      <c r="I30">
        <f t="shared" si="2"/>
        <v>8.3333333333333065E-2</v>
      </c>
      <c r="J30">
        <f t="shared" si="2"/>
        <v>-2.3068181818181861</v>
      </c>
      <c r="K30">
        <f t="shared" si="2"/>
        <v>0.12500000000000022</v>
      </c>
      <c r="L30">
        <f t="shared" si="2"/>
        <v>0.24999999999999967</v>
      </c>
      <c r="M30">
        <f t="shared" si="2"/>
        <v>1.8750000000000004</v>
      </c>
      <c r="N30" s="15" t="e">
        <f t="shared" si="2"/>
        <v>#DIV/0!</v>
      </c>
      <c r="O30">
        <f t="shared" si="2"/>
        <v>-1.0000000000000018</v>
      </c>
      <c r="P30">
        <f t="shared" si="2"/>
        <v>-0.3472222222222221</v>
      </c>
      <c r="Q30">
        <f t="shared" si="2"/>
        <v>-1.1250000000000018</v>
      </c>
      <c r="R30">
        <f t="shared" si="2"/>
        <v>0.48214285714285765</v>
      </c>
      <c r="S30">
        <f t="shared" si="2"/>
        <v>-1.4583333333333335</v>
      </c>
      <c r="T30">
        <f t="shared" si="2"/>
        <v>-0.25000000000000033</v>
      </c>
      <c r="U30">
        <f t="shared" si="2"/>
        <v>2.1029411764705883</v>
      </c>
      <c r="V30">
        <f t="shared" si="2"/>
        <v>-0.9750000000000002</v>
      </c>
      <c r="W30">
        <f t="shared" si="2"/>
        <v>-0.17500000000000027</v>
      </c>
      <c r="X30">
        <f t="shared" si="2"/>
        <v>-1.1250000000000007</v>
      </c>
      <c r="Y30">
        <f t="shared" si="2"/>
        <v>-2.500000000000005E-2</v>
      </c>
      <c r="Z30">
        <f t="shared" si="2"/>
        <v>9.8722348855282832E-17</v>
      </c>
      <c r="AA30">
        <f t="shared" si="2"/>
        <v>-2.306818181818183</v>
      </c>
      <c r="AB30">
        <f t="shared" si="2"/>
        <v>-2.0771509446240258E-16</v>
      </c>
      <c r="AC30">
        <f t="shared" si="2"/>
        <v>-0.31250000000000017</v>
      </c>
      <c r="AD30" s="16" t="e">
        <f t="shared" si="2"/>
        <v>#DIV/0!</v>
      </c>
      <c r="AE30">
        <f t="shared" si="2"/>
        <v>-0.48214285714285765</v>
      </c>
      <c r="AF30">
        <f t="shared" si="2"/>
        <v>0</v>
      </c>
      <c r="AG30">
        <f t="shared" si="2"/>
        <v>-0.12500000000000006</v>
      </c>
      <c r="AH30">
        <f t="shared" si="2"/>
        <v>-0.82500000000000029</v>
      </c>
      <c r="AI30">
        <f t="shared" si="2"/>
        <v>-0.375</v>
      </c>
      <c r="AJ30">
        <f t="shared" si="2"/>
        <v>-8.3333333333333565E-2</v>
      </c>
      <c r="AK30">
        <f t="shared" si="2"/>
        <v>0.30357142857142694</v>
      </c>
      <c r="AL30">
        <f t="shared" si="2"/>
        <v>0</v>
      </c>
      <c r="AM30">
        <f t="shared" si="2"/>
        <v>0</v>
      </c>
      <c r="AN30">
        <f t="shared" si="2"/>
        <v>-0.1666666666666663</v>
      </c>
      <c r="AO30">
        <f t="shared" si="2"/>
        <v>0.29166666666666391</v>
      </c>
      <c r="AP30">
        <f t="shared" si="2"/>
        <v>1.3577586206896579</v>
      </c>
      <c r="AQ30">
        <f t="shared" si="2"/>
        <v>3.3886017204988969E-16</v>
      </c>
      <c r="AR30">
        <f t="shared" si="2"/>
        <v>-0.19444444444444373</v>
      </c>
      <c r="AS30">
        <f t="shared" si="2"/>
        <v>0.29166666666666702</v>
      </c>
      <c r="AT30" s="16" t="e">
        <f t="shared" si="2"/>
        <v>#DIV/0!</v>
      </c>
      <c r="AU30">
        <f t="shared" si="2"/>
        <v>-0.50000000000000022</v>
      </c>
      <c r="AV30">
        <f t="shared" si="2"/>
        <v>-0.37500000000000011</v>
      </c>
      <c r="AW30">
        <f t="shared" si="2"/>
        <v>0.99999999999999978</v>
      </c>
      <c r="AX30">
        <f t="shared" si="2"/>
        <v>-8.7429237512861822E-17</v>
      </c>
      <c r="AY30">
        <f t="shared" si="2"/>
        <v>2.0000000000000027</v>
      </c>
      <c r="AZ30">
        <f t="shared" si="2"/>
        <v>-0.25000000000000228</v>
      </c>
      <c r="BA30">
        <f t="shared" si="2"/>
        <v>-0.97500000000000109</v>
      </c>
      <c r="BB30">
        <f t="shared" si="2"/>
        <v>-0.3250000000000004</v>
      </c>
      <c r="BC30">
        <f t="shared" si="2"/>
        <v>0.62500000000000067</v>
      </c>
      <c r="BD30">
        <f t="shared" si="2"/>
        <v>1.1949601791827868E-16</v>
      </c>
      <c r="BE30">
        <f t="shared" si="2"/>
        <v>-1.0340909090909103</v>
      </c>
      <c r="BF30">
        <f t="shared" si="2"/>
        <v>0.37500000000000044</v>
      </c>
      <c r="BG30">
        <f t="shared" si="2"/>
        <v>0.37500000000000178</v>
      </c>
      <c r="BH30">
        <f t="shared" si="2"/>
        <v>-0.83333333333333415</v>
      </c>
      <c r="BI30">
        <f t="shared" si="2"/>
        <v>-2.8125000000000036</v>
      </c>
      <c r="BJ30">
        <f t="shared" si="2"/>
        <v>0.44999999999999984</v>
      </c>
      <c r="BK30">
        <f t="shared" si="2"/>
        <v>-0.50000000000000067</v>
      </c>
    </row>
    <row r="31" spans="1:63" x14ac:dyDescent="0.3">
      <c r="A31" s="12" t="s">
        <v>13</v>
      </c>
      <c r="B31">
        <f>B14-MIN(B13:B14)/B$29</f>
        <v>1.4999999999999998</v>
      </c>
      <c r="C31">
        <f t="shared" ref="C31:BK31" si="3">C14-MIN(C13:C14)/C$29</f>
        <v>0</v>
      </c>
      <c r="D31">
        <f t="shared" si="3"/>
        <v>0.53571428571428614</v>
      </c>
      <c r="E31" s="16" t="e">
        <f t="shared" si="3"/>
        <v>#DIV/0!</v>
      </c>
      <c r="F31" s="16" t="e">
        <f t="shared" si="3"/>
        <v>#DIV/0!</v>
      </c>
      <c r="G31">
        <f t="shared" si="3"/>
        <v>1.2500000000000004</v>
      </c>
      <c r="H31">
        <f t="shared" si="3"/>
        <v>0</v>
      </c>
      <c r="I31">
        <f t="shared" si="3"/>
        <v>0</v>
      </c>
      <c r="J31">
        <f t="shared" si="3"/>
        <v>1.3181818181818188</v>
      </c>
      <c r="K31">
        <f t="shared" si="3"/>
        <v>0</v>
      </c>
      <c r="L31">
        <f t="shared" si="3"/>
        <v>0.49999999999999944</v>
      </c>
      <c r="M31">
        <f t="shared" si="3"/>
        <v>2.5000000000000004</v>
      </c>
      <c r="N31" s="15" t="e">
        <f t="shared" si="3"/>
        <v>#DIV/0!</v>
      </c>
      <c r="O31">
        <f t="shared" si="3"/>
        <v>0.50000000000000022</v>
      </c>
      <c r="P31">
        <f t="shared" si="3"/>
        <v>0.27777777777777768</v>
      </c>
      <c r="Q31">
        <f t="shared" si="3"/>
        <v>0.37500000000000056</v>
      </c>
      <c r="R31">
        <f t="shared" si="3"/>
        <v>0</v>
      </c>
      <c r="S31">
        <f t="shared" si="3"/>
        <v>1.1666666666666665</v>
      </c>
      <c r="T31">
        <f t="shared" si="3"/>
        <v>0.50000000000000067</v>
      </c>
      <c r="U31">
        <f t="shared" si="3"/>
        <v>0</v>
      </c>
      <c r="V31">
        <f t="shared" si="3"/>
        <v>0.65000000000000047</v>
      </c>
      <c r="W31">
        <f t="shared" si="3"/>
        <v>0.70000000000000018</v>
      </c>
      <c r="X31">
        <f t="shared" si="3"/>
        <v>1.1249999999999993</v>
      </c>
      <c r="Y31">
        <f t="shared" si="3"/>
        <v>0.10000000000000048</v>
      </c>
      <c r="Z31">
        <f t="shared" si="3"/>
        <v>0</v>
      </c>
      <c r="AA31">
        <f t="shared" si="3"/>
        <v>1.3181818181818183</v>
      </c>
      <c r="AB31">
        <f t="shared" si="3"/>
        <v>0</v>
      </c>
      <c r="AC31">
        <f t="shared" si="3"/>
        <v>0.31250000000000028</v>
      </c>
      <c r="AD31" s="16" t="e">
        <f t="shared" si="3"/>
        <v>#DIV/0!</v>
      </c>
      <c r="AE31">
        <f t="shared" si="3"/>
        <v>0.64285714285714324</v>
      </c>
      <c r="AF31">
        <f t="shared" si="3"/>
        <v>0</v>
      </c>
      <c r="AG31">
        <f t="shared" si="3"/>
        <v>0.25000000000000022</v>
      </c>
      <c r="AH31">
        <f t="shared" si="3"/>
        <v>0.55000000000000038</v>
      </c>
      <c r="AI31">
        <f t="shared" si="3"/>
        <v>0</v>
      </c>
      <c r="AJ31">
        <f t="shared" si="3"/>
        <v>0.16666666666666688</v>
      </c>
      <c r="AK31">
        <f t="shared" si="3"/>
        <v>0</v>
      </c>
      <c r="AL31">
        <f t="shared" si="3"/>
        <v>0</v>
      </c>
      <c r="AM31">
        <f t="shared" si="3"/>
        <v>0</v>
      </c>
      <c r="AN31">
        <f t="shared" si="3"/>
        <v>0.33333333333333287</v>
      </c>
      <c r="AO31">
        <f t="shared" si="3"/>
        <v>0</v>
      </c>
      <c r="AP31">
        <f t="shared" si="3"/>
        <v>0</v>
      </c>
      <c r="AQ31">
        <f t="shared" si="3"/>
        <v>6.7772034409977958E-16</v>
      </c>
      <c r="AR31">
        <f t="shared" si="3"/>
        <v>5.5555555555555379E-2</v>
      </c>
      <c r="AS31">
        <f t="shared" si="3"/>
        <v>0</v>
      </c>
      <c r="AT31" s="16" t="e">
        <f t="shared" si="3"/>
        <v>#DIV/0!</v>
      </c>
      <c r="AU31">
        <f t="shared" si="3"/>
        <v>0.12500000000000017</v>
      </c>
      <c r="AV31">
        <f t="shared" si="3"/>
        <v>0</v>
      </c>
      <c r="AW31">
        <f t="shared" si="3"/>
        <v>2.0000000000000009</v>
      </c>
      <c r="AX31">
        <f t="shared" si="3"/>
        <v>8.7429237512861822E-17</v>
      </c>
      <c r="AY31">
        <f t="shared" si="3"/>
        <v>0</v>
      </c>
      <c r="AZ31">
        <f t="shared" si="3"/>
        <v>0</v>
      </c>
      <c r="BA31">
        <f t="shared" si="3"/>
        <v>0.65000000000000047</v>
      </c>
      <c r="BB31">
        <f t="shared" si="3"/>
        <v>1.3000000000000003</v>
      </c>
      <c r="BC31">
        <f t="shared" si="3"/>
        <v>0</v>
      </c>
      <c r="BD31">
        <f t="shared" si="3"/>
        <v>2.3899203583655725E-16</v>
      </c>
      <c r="BE31">
        <f t="shared" si="3"/>
        <v>0.59090909090909149</v>
      </c>
      <c r="BF31">
        <f t="shared" si="3"/>
        <v>0</v>
      </c>
      <c r="BG31">
        <f t="shared" si="3"/>
        <v>0</v>
      </c>
      <c r="BH31">
        <f t="shared" si="3"/>
        <v>0.41666666666666724</v>
      </c>
      <c r="BI31">
        <f t="shared" si="3"/>
        <v>0.93750000000000089</v>
      </c>
      <c r="BJ31">
        <f t="shared" si="3"/>
        <v>0</v>
      </c>
      <c r="BK31">
        <f t="shared" si="3"/>
        <v>0.50000000000000044</v>
      </c>
    </row>
    <row r="32" spans="1:63" x14ac:dyDescent="0.3">
      <c r="A32" s="12" t="s">
        <v>47</v>
      </c>
      <c r="B32">
        <f>B15-MIN(B15:B16)/B$29</f>
        <v>0.45833333333333215</v>
      </c>
      <c r="C32">
        <f t="shared" ref="C32:BK32" si="4">C15-MIN(C15:C16)/C$29</f>
        <v>1.3749999999999998</v>
      </c>
      <c r="D32">
        <f t="shared" si="4"/>
        <v>-2.3571428571428608</v>
      </c>
      <c r="E32" s="16" t="e">
        <f t="shared" si="4"/>
        <v>#DIV/0!</v>
      </c>
      <c r="F32" s="16" t="e">
        <f t="shared" si="4"/>
        <v>#DIV/0!</v>
      </c>
      <c r="G32">
        <f t="shared" si="4"/>
        <v>0</v>
      </c>
      <c r="H32">
        <f t="shared" si="4"/>
        <v>0</v>
      </c>
      <c r="I32">
        <f t="shared" si="4"/>
        <v>0.749999999999999</v>
      </c>
      <c r="J32">
        <f t="shared" si="4"/>
        <v>-1.5113636363636396</v>
      </c>
      <c r="K32">
        <f t="shared" si="4"/>
        <v>0.37500000000000017</v>
      </c>
      <c r="L32">
        <f t="shared" si="4"/>
        <v>0.74999999999999933</v>
      </c>
      <c r="M32">
        <f t="shared" si="4"/>
        <v>1.1249999999999998</v>
      </c>
      <c r="N32" s="15" t="e">
        <f t="shared" si="4"/>
        <v>#DIV/0!</v>
      </c>
      <c r="O32">
        <f t="shared" si="4"/>
        <v>-3.0000000000000027</v>
      </c>
      <c r="P32">
        <f t="shared" si="4"/>
        <v>-0.20833333333333354</v>
      </c>
      <c r="Q32">
        <f t="shared" si="4"/>
        <v>-1.8750000000000024</v>
      </c>
      <c r="R32">
        <f t="shared" si="4"/>
        <v>-0.48214285714285798</v>
      </c>
      <c r="S32">
        <f t="shared" si="4"/>
        <v>-0.76388888888888917</v>
      </c>
      <c r="T32">
        <f t="shared" si="4"/>
        <v>-0.25000000000000044</v>
      </c>
      <c r="U32">
        <f t="shared" si="4"/>
        <v>4.25</v>
      </c>
      <c r="V32">
        <f t="shared" si="4"/>
        <v>-0.5250000000000008</v>
      </c>
      <c r="W32">
        <f t="shared" si="4"/>
        <v>-0.2250000000000002</v>
      </c>
      <c r="X32">
        <f t="shared" si="4"/>
        <v>-1.6250000000000013</v>
      </c>
      <c r="Y32">
        <f t="shared" si="4"/>
        <v>0.12499999999999906</v>
      </c>
      <c r="Z32">
        <f t="shared" si="4"/>
        <v>7.4476024597418191E-17</v>
      </c>
      <c r="AA32">
        <f t="shared" si="4"/>
        <v>-3.1022727272727275</v>
      </c>
      <c r="AB32">
        <f t="shared" si="4"/>
        <v>0.50000000000000022</v>
      </c>
      <c r="AC32">
        <f t="shared" si="4"/>
        <v>0.12500000000000008</v>
      </c>
      <c r="AD32" s="16" t="e">
        <f t="shared" si="4"/>
        <v>#DIV/0!</v>
      </c>
      <c r="AE32">
        <f t="shared" si="4"/>
        <v>-0.58928571428571475</v>
      </c>
      <c r="AF32">
        <f t="shared" si="4"/>
        <v>0</v>
      </c>
      <c r="AG32">
        <f t="shared" si="4"/>
        <v>-4.1666666666666893E-2</v>
      </c>
      <c r="AH32">
        <f t="shared" si="4"/>
        <v>-0.67500000000000093</v>
      </c>
      <c r="AI32">
        <f t="shared" si="4"/>
        <v>0.37500000000000022</v>
      </c>
      <c r="AJ32">
        <f t="shared" si="4"/>
        <v>-0.75000000000000044</v>
      </c>
      <c r="AK32">
        <f t="shared" si="4"/>
        <v>0.62499999999999734</v>
      </c>
      <c r="AL32">
        <f t="shared" si="4"/>
        <v>1.0000000000000002</v>
      </c>
      <c r="AM32">
        <f t="shared" si="4"/>
        <v>2.792850922403182E-17</v>
      </c>
      <c r="AN32">
        <f t="shared" si="4"/>
        <v>5.9580819677934553E-16</v>
      </c>
      <c r="AO32">
        <f t="shared" si="4"/>
        <v>-0.29166666666666857</v>
      </c>
      <c r="AP32">
        <f t="shared" si="4"/>
        <v>3.6250000000000022</v>
      </c>
      <c r="AQ32">
        <f t="shared" si="4"/>
        <v>0.50000000000000033</v>
      </c>
      <c r="AR32">
        <f t="shared" si="4"/>
        <v>1.2500000000000004</v>
      </c>
      <c r="AS32">
        <f t="shared" si="4"/>
        <v>1.875</v>
      </c>
      <c r="AT32" s="16" t="e">
        <f t="shared" si="4"/>
        <v>#DIV/0!</v>
      </c>
      <c r="AU32">
        <f t="shared" si="4"/>
        <v>-0.30000000000000093</v>
      </c>
      <c r="AV32">
        <f t="shared" si="4"/>
        <v>0.37499999999999994</v>
      </c>
      <c r="AW32">
        <f t="shared" si="4"/>
        <v>0.50000000000000078</v>
      </c>
      <c r="AX32">
        <f t="shared" si="4"/>
        <v>-0.50000000000000011</v>
      </c>
      <c r="AY32">
        <f t="shared" si="4"/>
        <v>3.0000000000000018</v>
      </c>
      <c r="AZ32">
        <f t="shared" si="4"/>
        <v>1.2499999999999993</v>
      </c>
      <c r="BA32">
        <f t="shared" si="4"/>
        <v>-1.725000000000001</v>
      </c>
      <c r="BB32">
        <f t="shared" si="4"/>
        <v>-0.27500000000000036</v>
      </c>
      <c r="BC32">
        <f t="shared" si="4"/>
        <v>1.3750000000000004</v>
      </c>
      <c r="BD32">
        <f t="shared" si="4"/>
        <v>0.49999999999999978</v>
      </c>
      <c r="BE32">
        <f t="shared" si="4"/>
        <v>-1.1931818181818192</v>
      </c>
      <c r="BF32">
        <f t="shared" si="4"/>
        <v>0.62500000000000033</v>
      </c>
      <c r="BG32">
        <f t="shared" si="4"/>
        <v>1.1250000000000013</v>
      </c>
      <c r="BH32">
        <f t="shared" si="4"/>
        <v>-1.1666666666666683</v>
      </c>
      <c r="BI32">
        <f t="shared" si="4"/>
        <v>-2.812500000000004</v>
      </c>
      <c r="BJ32">
        <f t="shared" si="4"/>
        <v>0.249999999999999</v>
      </c>
      <c r="BK32">
        <f t="shared" si="4"/>
        <v>-0.50000000000000078</v>
      </c>
    </row>
    <row r="33" spans="1:63" x14ac:dyDescent="0.3">
      <c r="A33" s="12" t="s">
        <v>48</v>
      </c>
      <c r="B33">
        <f>B16-MIN(B15:B16)/B$29</f>
        <v>1.8333333333333326</v>
      </c>
      <c r="C33">
        <f t="shared" ref="C33:BK33" si="5">C16-MIN(C15:C16)/C$29</f>
        <v>0</v>
      </c>
      <c r="D33">
        <f t="shared" si="5"/>
        <v>0.39285714285714352</v>
      </c>
      <c r="E33" s="16" t="e">
        <f t="shared" si="5"/>
        <v>#DIV/0!</v>
      </c>
      <c r="F33" s="16" t="e">
        <f t="shared" si="5"/>
        <v>#DIV/0!</v>
      </c>
      <c r="G33">
        <f t="shared" si="5"/>
        <v>2.7499999999999996</v>
      </c>
      <c r="H33">
        <f t="shared" si="5"/>
        <v>0</v>
      </c>
      <c r="I33">
        <f t="shared" si="5"/>
        <v>0</v>
      </c>
      <c r="J33">
        <f t="shared" si="5"/>
        <v>0.86363636363636442</v>
      </c>
      <c r="K33">
        <f t="shared" si="5"/>
        <v>0</v>
      </c>
      <c r="L33">
        <f t="shared" si="5"/>
        <v>1.4999999999999991</v>
      </c>
      <c r="M33">
        <f t="shared" si="5"/>
        <v>1.4999999999999996</v>
      </c>
      <c r="N33" s="15" t="e">
        <f t="shared" si="5"/>
        <v>#DIV/0!</v>
      </c>
      <c r="O33">
        <f t="shared" si="5"/>
        <v>1.4999999999999993</v>
      </c>
      <c r="P33">
        <f t="shared" si="5"/>
        <v>0.16666666666666685</v>
      </c>
      <c r="Q33">
        <f t="shared" si="5"/>
        <v>0.62500000000000067</v>
      </c>
      <c r="R33">
        <f t="shared" si="5"/>
        <v>0.64285714285714246</v>
      </c>
      <c r="S33">
        <f t="shared" si="5"/>
        <v>0.61111111111111105</v>
      </c>
      <c r="T33">
        <f t="shared" si="5"/>
        <v>0.50000000000000078</v>
      </c>
      <c r="U33">
        <f t="shared" si="5"/>
        <v>0</v>
      </c>
      <c r="V33">
        <f t="shared" si="5"/>
        <v>0.35000000000000075</v>
      </c>
      <c r="W33">
        <f t="shared" si="5"/>
        <v>0.90000000000000024</v>
      </c>
      <c r="X33">
        <f t="shared" si="5"/>
        <v>1.6249999999999991</v>
      </c>
      <c r="Y33">
        <f t="shared" si="5"/>
        <v>0</v>
      </c>
      <c r="Z33">
        <f t="shared" si="5"/>
        <v>0</v>
      </c>
      <c r="AA33">
        <f t="shared" si="5"/>
        <v>1.7727272727272723</v>
      </c>
      <c r="AB33">
        <f t="shared" si="5"/>
        <v>0</v>
      </c>
      <c r="AC33">
        <f t="shared" si="5"/>
        <v>0</v>
      </c>
      <c r="AD33" s="16" t="e">
        <f t="shared" si="5"/>
        <v>#DIV/0!</v>
      </c>
      <c r="AE33">
        <f t="shared" si="5"/>
        <v>0.78571428571428592</v>
      </c>
      <c r="AF33">
        <f t="shared" si="5"/>
        <v>1.9999999999999993</v>
      </c>
      <c r="AG33">
        <f t="shared" si="5"/>
        <v>8.3333333333333828E-2</v>
      </c>
      <c r="AH33">
        <f t="shared" si="5"/>
        <v>0.45000000000000068</v>
      </c>
      <c r="AI33">
        <f t="shared" si="5"/>
        <v>0.75000000000000022</v>
      </c>
      <c r="AJ33">
        <f t="shared" si="5"/>
        <v>1.4999999999999987</v>
      </c>
      <c r="AK33">
        <f t="shared" si="5"/>
        <v>0</v>
      </c>
      <c r="AL33">
        <f t="shared" si="5"/>
        <v>0</v>
      </c>
      <c r="AM33">
        <f t="shared" si="5"/>
        <v>0</v>
      </c>
      <c r="AN33">
        <f t="shared" si="5"/>
        <v>0</v>
      </c>
      <c r="AO33">
        <f t="shared" si="5"/>
        <v>8.3333333333333981E-2</v>
      </c>
      <c r="AP33">
        <f t="shared" si="5"/>
        <v>0</v>
      </c>
      <c r="AQ33">
        <f t="shared" si="5"/>
        <v>1.0000000000000009</v>
      </c>
      <c r="AR33">
        <f t="shared" si="5"/>
        <v>0</v>
      </c>
      <c r="AS33">
        <f t="shared" si="5"/>
        <v>0</v>
      </c>
      <c r="AT33" s="16" t="e">
        <f t="shared" si="5"/>
        <v>#DIV/0!</v>
      </c>
      <c r="AU33">
        <f t="shared" si="5"/>
        <v>7.5000000000000289E-2</v>
      </c>
      <c r="AV33">
        <f t="shared" si="5"/>
        <v>0</v>
      </c>
      <c r="AW33">
        <f t="shared" si="5"/>
        <v>1.0000000000000022</v>
      </c>
      <c r="AX33">
        <f t="shared" si="5"/>
        <v>0.50000000000000011</v>
      </c>
      <c r="AY33">
        <f t="shared" si="5"/>
        <v>0</v>
      </c>
      <c r="AZ33">
        <f t="shared" si="5"/>
        <v>2.4999999999999969</v>
      </c>
      <c r="BA33">
        <f t="shared" si="5"/>
        <v>1.1500000000000004</v>
      </c>
      <c r="BB33">
        <f t="shared" si="5"/>
        <v>1.1000000000000008</v>
      </c>
      <c r="BC33">
        <f t="shared" si="5"/>
        <v>0</v>
      </c>
      <c r="BD33">
        <f t="shared" si="5"/>
        <v>0</v>
      </c>
      <c r="BE33">
        <f t="shared" si="5"/>
        <v>0.68181818181818232</v>
      </c>
      <c r="BF33">
        <f t="shared" si="5"/>
        <v>0</v>
      </c>
      <c r="BG33">
        <f t="shared" si="5"/>
        <v>0</v>
      </c>
      <c r="BH33">
        <f t="shared" si="5"/>
        <v>0.58333333333333437</v>
      </c>
      <c r="BI33">
        <f t="shared" si="5"/>
        <v>0.937500000000001</v>
      </c>
      <c r="BJ33">
        <f t="shared" si="5"/>
        <v>0</v>
      </c>
      <c r="BK33">
        <f t="shared" si="5"/>
        <v>0.50000000000000056</v>
      </c>
    </row>
    <row r="34" spans="1:63" x14ac:dyDescent="0.3">
      <c r="A34" s="12" t="s">
        <v>4</v>
      </c>
      <c r="B34">
        <f>B17-MIN(B17:B20)/B$29</f>
        <v>0.16666666666666591</v>
      </c>
      <c r="C34">
        <f t="shared" ref="C34:BK34" si="6">C17-MIN(C17:C20)/C$29</f>
        <v>2.2727272727272729</v>
      </c>
      <c r="D34">
        <f t="shared" si="6"/>
        <v>4.4999999999999991</v>
      </c>
      <c r="E34" s="16" t="e">
        <f t="shared" si="6"/>
        <v>#DIV/0!</v>
      </c>
      <c r="F34" s="16" t="e">
        <f t="shared" si="6"/>
        <v>#DIV/0!</v>
      </c>
      <c r="G34">
        <f t="shared" si="6"/>
        <v>2.4999999999999982</v>
      </c>
      <c r="H34">
        <f t="shared" si="6"/>
        <v>-0.49999999999999956</v>
      </c>
      <c r="I34">
        <f t="shared" si="6"/>
        <v>0.99999999999999911</v>
      </c>
      <c r="J34">
        <f t="shared" si="6"/>
        <v>0.27272727272727276</v>
      </c>
      <c r="K34">
        <f t="shared" si="6"/>
        <v>0.16666666666666663</v>
      </c>
      <c r="L34">
        <f t="shared" si="6"/>
        <v>1.2540388791986914E-16</v>
      </c>
      <c r="M34">
        <f t="shared" si="6"/>
        <v>17.000000000000011</v>
      </c>
      <c r="N34" s="15" t="e">
        <f t="shared" si="6"/>
        <v>#DIV/0!</v>
      </c>
      <c r="O34">
        <f t="shared" si="6"/>
        <v>1.7952556586423372E-15</v>
      </c>
      <c r="P34">
        <f t="shared" si="6"/>
        <v>0.99999999999999956</v>
      </c>
      <c r="Q34">
        <f t="shared" si="6"/>
        <v>4</v>
      </c>
      <c r="R34">
        <f t="shared" si="6"/>
        <v>1.4285714285714282</v>
      </c>
      <c r="S34">
        <f t="shared" si="6"/>
        <v>3.1680982211335358E-16</v>
      </c>
      <c r="T34">
        <f t="shared" si="6"/>
        <v>1.833333333333333</v>
      </c>
      <c r="U34">
        <f t="shared" si="6"/>
        <v>1.352941176470587</v>
      </c>
      <c r="V34">
        <f t="shared" si="6"/>
        <v>2.5999999999999992</v>
      </c>
      <c r="W34">
        <f t="shared" si="6"/>
        <v>1</v>
      </c>
      <c r="X34">
        <f t="shared" si="6"/>
        <v>1.2499999999999989</v>
      </c>
      <c r="Y34">
        <f t="shared" si="6"/>
        <v>0.99999999999999933</v>
      </c>
      <c r="Z34">
        <f t="shared" si="6"/>
        <v>3.9999999999999978</v>
      </c>
      <c r="AA34">
        <f t="shared" si="6"/>
        <v>0.59090909090909105</v>
      </c>
      <c r="AB34">
        <f t="shared" si="6"/>
        <v>0.49999999999999956</v>
      </c>
      <c r="AC34">
        <f t="shared" si="6"/>
        <v>-0.74999999999999944</v>
      </c>
      <c r="AD34" s="16" t="e">
        <f t="shared" si="6"/>
        <v>#DIV/0!</v>
      </c>
      <c r="AE34">
        <f t="shared" si="6"/>
        <v>-0.21428571428571414</v>
      </c>
      <c r="AF34">
        <f t="shared" si="6"/>
        <v>2.2031602826008491E-16</v>
      </c>
      <c r="AG34">
        <f t="shared" si="6"/>
        <v>1.4999999999999998</v>
      </c>
      <c r="AH34">
        <f t="shared" si="6"/>
        <v>2.4999999999999996</v>
      </c>
      <c r="AI34">
        <f t="shared" si="6"/>
        <v>0.49999999999999994</v>
      </c>
      <c r="AJ34">
        <f t="shared" si="6"/>
        <v>-0.16666666666666657</v>
      </c>
      <c r="AK34">
        <f t="shared" si="6"/>
        <v>4</v>
      </c>
      <c r="AL34">
        <f t="shared" si="6"/>
        <v>8.4209054804554844E-17</v>
      </c>
      <c r="AM34">
        <f t="shared" si="6"/>
        <v>1.353426674028896E-16</v>
      </c>
      <c r="AN34">
        <f t="shared" si="6"/>
        <v>0.49999999999999983</v>
      </c>
      <c r="AO34">
        <f t="shared" si="6"/>
        <v>5.5555555555555733E-2</v>
      </c>
      <c r="AP34">
        <f t="shared" si="6"/>
        <v>3.3965517241379288</v>
      </c>
      <c r="AQ34">
        <f t="shared" si="6"/>
        <v>2.4999999999999991</v>
      </c>
      <c r="AR34">
        <f t="shared" si="6"/>
        <v>0.99999999999999889</v>
      </c>
      <c r="AS34">
        <f t="shared" si="6"/>
        <v>0.89999999999999947</v>
      </c>
      <c r="AT34" s="16" t="e">
        <f t="shared" si="6"/>
        <v>#DIV/0!</v>
      </c>
      <c r="AU34">
        <f t="shared" si="6"/>
        <v>4.9999999999999973</v>
      </c>
      <c r="AV34">
        <f t="shared" si="6"/>
        <v>0.40000000000000036</v>
      </c>
      <c r="AW34">
        <f t="shared" si="6"/>
        <v>2.4999999999999978</v>
      </c>
      <c r="AX34">
        <f t="shared" si="6"/>
        <v>1.5</v>
      </c>
      <c r="AY34">
        <f t="shared" si="6"/>
        <v>1.3333333333333328</v>
      </c>
      <c r="AZ34">
        <f t="shared" si="6"/>
        <v>2.0000000000000053</v>
      </c>
      <c r="BA34">
        <f t="shared" si="6"/>
        <v>2.6</v>
      </c>
      <c r="BB34">
        <f t="shared" si="6"/>
        <v>1.1999999999999997</v>
      </c>
      <c r="BC34">
        <f t="shared" si="6"/>
        <v>2.6923076923076912</v>
      </c>
      <c r="BD34">
        <f t="shared" si="6"/>
        <v>1.5000000000000004</v>
      </c>
      <c r="BE34">
        <f t="shared" si="6"/>
        <v>1.5</v>
      </c>
      <c r="BF34">
        <f t="shared" si="6"/>
        <v>0.90909090909090884</v>
      </c>
      <c r="BG34">
        <f t="shared" si="6"/>
        <v>1.4090909090909081</v>
      </c>
      <c r="BH34">
        <f t="shared" si="6"/>
        <v>3.8333333333333321</v>
      </c>
      <c r="BI34">
        <f t="shared" si="6"/>
        <v>3.8749999999999991</v>
      </c>
      <c r="BJ34">
        <f t="shared" si="6"/>
        <v>1.9999999999999996</v>
      </c>
      <c r="BK34">
        <f t="shared" si="6"/>
        <v>1.9999999999999996</v>
      </c>
    </row>
    <row r="35" spans="1:63" x14ac:dyDescent="0.3">
      <c r="A35" s="12" t="s">
        <v>5</v>
      </c>
      <c r="B35">
        <f>B18-MIN(B17:B20)/B$29</f>
        <v>1.4166666666666656</v>
      </c>
      <c r="C35">
        <f t="shared" ref="C35:BK35" si="7">C18-MIN(C17:C20)/C$29</f>
        <v>-0.47727272727272729</v>
      </c>
      <c r="D35">
        <f t="shared" si="7"/>
        <v>4.5</v>
      </c>
      <c r="E35" s="16" t="e">
        <f t="shared" si="7"/>
        <v>#DIV/0!</v>
      </c>
      <c r="F35" s="16" t="e">
        <f t="shared" si="7"/>
        <v>#DIV/0!</v>
      </c>
      <c r="G35">
        <f t="shared" si="7"/>
        <v>0</v>
      </c>
      <c r="H35">
        <f t="shared" si="7"/>
        <v>1.4999999999999996</v>
      </c>
      <c r="I35">
        <f t="shared" si="7"/>
        <v>0.49999999999999972</v>
      </c>
      <c r="J35">
        <f t="shared" si="7"/>
        <v>3.0227272727272738</v>
      </c>
      <c r="K35">
        <f t="shared" si="7"/>
        <v>-8.333333333333337E-2</v>
      </c>
      <c r="L35">
        <f t="shared" si="7"/>
        <v>0.5</v>
      </c>
      <c r="M35">
        <f t="shared" si="7"/>
        <v>12.750000000000011</v>
      </c>
      <c r="N35" s="15" t="e">
        <f t="shared" si="7"/>
        <v>#DIV/0!</v>
      </c>
      <c r="O35">
        <f t="shared" si="7"/>
        <v>3.0000000000000022</v>
      </c>
      <c r="P35">
        <f t="shared" si="7"/>
        <v>0.74999999999999967</v>
      </c>
      <c r="Q35">
        <f t="shared" si="7"/>
        <v>3.0000000000000009</v>
      </c>
      <c r="R35">
        <f t="shared" si="7"/>
        <v>-0.32142857142857145</v>
      </c>
      <c r="S35">
        <f t="shared" si="7"/>
        <v>0.75000000000000022</v>
      </c>
      <c r="T35">
        <f t="shared" si="7"/>
        <v>-0.16666666666666646</v>
      </c>
      <c r="U35">
        <f t="shared" si="7"/>
        <v>-1.1470588235294117</v>
      </c>
      <c r="V35">
        <f t="shared" si="7"/>
        <v>-0.15000000000000008</v>
      </c>
      <c r="W35">
        <f t="shared" si="7"/>
        <v>1.2500000000000002</v>
      </c>
      <c r="X35">
        <f t="shared" si="7"/>
        <v>-0.75</v>
      </c>
      <c r="Y35">
        <f t="shared" si="7"/>
        <v>0.74999999999999967</v>
      </c>
      <c r="Z35">
        <f t="shared" si="7"/>
        <v>-1.2138562901287875E-15</v>
      </c>
      <c r="AA35">
        <f t="shared" si="7"/>
        <v>2.8409090909090913</v>
      </c>
      <c r="AB35">
        <f t="shared" si="7"/>
        <v>0.99999999999999967</v>
      </c>
      <c r="AC35">
        <f t="shared" si="7"/>
        <v>1.5000000000000007</v>
      </c>
      <c r="AD35" s="16" t="e">
        <f t="shared" si="7"/>
        <v>#DIV/0!</v>
      </c>
      <c r="AE35">
        <f t="shared" si="7"/>
        <v>1.0357142857142856</v>
      </c>
      <c r="AF35">
        <f t="shared" si="7"/>
        <v>0</v>
      </c>
      <c r="AG35">
        <f t="shared" si="7"/>
        <v>0.24999999999999958</v>
      </c>
      <c r="AH35">
        <f t="shared" si="7"/>
        <v>2.2500000000000004</v>
      </c>
      <c r="AI35">
        <f t="shared" si="7"/>
        <v>0.24999999999999994</v>
      </c>
      <c r="AJ35">
        <f t="shared" si="7"/>
        <v>1.8333333333333335</v>
      </c>
      <c r="AK35">
        <f t="shared" si="7"/>
        <v>0.75000000000000133</v>
      </c>
      <c r="AL35">
        <f t="shared" si="7"/>
        <v>0</v>
      </c>
      <c r="AM35">
        <f t="shared" si="7"/>
        <v>0.99999999999999989</v>
      </c>
      <c r="AN35">
        <f t="shared" si="7"/>
        <v>-1.8207844351931802E-16</v>
      </c>
      <c r="AO35">
        <f t="shared" si="7"/>
        <v>-0.19444444444444109</v>
      </c>
      <c r="AP35">
        <f t="shared" si="7"/>
        <v>1.6465517241379275</v>
      </c>
      <c r="AQ35">
        <f t="shared" si="7"/>
        <v>0.99999999999999922</v>
      </c>
      <c r="AR35">
        <f t="shared" si="7"/>
        <v>2.4999999999999987</v>
      </c>
      <c r="AS35">
        <f t="shared" si="7"/>
        <v>-0.35000000000000037</v>
      </c>
      <c r="AT35" s="16" t="e">
        <f t="shared" si="7"/>
        <v>#DIV/0!</v>
      </c>
      <c r="AU35">
        <f t="shared" si="7"/>
        <v>4.7499999999999991</v>
      </c>
      <c r="AV35">
        <f t="shared" si="7"/>
        <v>0.65000000000000036</v>
      </c>
      <c r="AW35">
        <f t="shared" si="7"/>
        <v>0.99999999999999811</v>
      </c>
      <c r="AX35">
        <f t="shared" si="7"/>
        <v>-0.50000000000000011</v>
      </c>
      <c r="AY35">
        <f t="shared" si="7"/>
        <v>-0.66666666666666785</v>
      </c>
      <c r="AZ35">
        <f t="shared" si="7"/>
        <v>1.5000000000000038</v>
      </c>
      <c r="BA35">
        <f t="shared" si="7"/>
        <v>-0.14999999999999955</v>
      </c>
      <c r="BB35">
        <f t="shared" si="7"/>
        <v>-4.9999999999999989E-2</v>
      </c>
      <c r="BC35">
        <f t="shared" si="7"/>
        <v>-1.0576923076923088</v>
      </c>
      <c r="BD35">
        <f t="shared" si="7"/>
        <v>1.0000000000000007</v>
      </c>
      <c r="BE35">
        <f t="shared" si="7"/>
        <v>1.7500000000000004</v>
      </c>
      <c r="BF35">
        <f t="shared" si="7"/>
        <v>-0.34090909090909127</v>
      </c>
      <c r="BG35">
        <f t="shared" si="7"/>
        <v>1.6590909090909074</v>
      </c>
      <c r="BH35">
        <f t="shared" si="7"/>
        <v>-1.6666666666666659</v>
      </c>
      <c r="BI35">
        <f t="shared" si="7"/>
        <v>-1.1249999999999978</v>
      </c>
      <c r="BJ35">
        <f t="shared" si="7"/>
        <v>2.5000000000000004</v>
      </c>
      <c r="BK35">
        <f t="shared" si="7"/>
        <v>1.0000000000000004</v>
      </c>
    </row>
    <row r="36" spans="1:63" x14ac:dyDescent="0.3">
      <c r="A36" s="12" t="s">
        <v>6</v>
      </c>
      <c r="B36">
        <f>B19-MIN(B17:B20)/B$29</f>
        <v>1.4166666666666656</v>
      </c>
      <c r="C36">
        <f t="shared" ref="C36:BK36" si="8">C19-MIN(C17:C20)/C$29</f>
        <v>1.0227272727272729</v>
      </c>
      <c r="D36">
        <f t="shared" si="8"/>
        <v>6.9999999999999991</v>
      </c>
      <c r="E36" s="16" t="e">
        <f t="shared" si="8"/>
        <v>#DIV/0!</v>
      </c>
      <c r="F36" s="16" t="e">
        <f t="shared" si="8"/>
        <v>#DIV/0!</v>
      </c>
      <c r="G36">
        <f t="shared" si="8"/>
        <v>0.99999999999999944</v>
      </c>
      <c r="H36">
        <f t="shared" si="8"/>
        <v>1.4999999999999991</v>
      </c>
      <c r="I36">
        <f t="shared" si="8"/>
        <v>1.4999999999999993</v>
      </c>
      <c r="J36">
        <f t="shared" si="8"/>
        <v>-0.47727272727272607</v>
      </c>
      <c r="K36">
        <f t="shared" si="8"/>
        <v>-8.3333333333333481E-2</v>
      </c>
      <c r="L36">
        <f t="shared" si="8"/>
        <v>0.50000000000000011</v>
      </c>
      <c r="M36">
        <f t="shared" si="8"/>
        <v>17.250000000000011</v>
      </c>
      <c r="N36" s="15" t="e">
        <f t="shared" si="8"/>
        <v>#DIV/0!</v>
      </c>
      <c r="O36">
        <f t="shared" si="8"/>
        <v>3.0000000000000027</v>
      </c>
      <c r="P36">
        <f t="shared" si="8"/>
        <v>2.25</v>
      </c>
      <c r="Q36">
        <f t="shared" si="8"/>
        <v>4.0000000000000009</v>
      </c>
      <c r="R36">
        <f t="shared" si="8"/>
        <v>2.1785714285714293</v>
      </c>
      <c r="S36">
        <f t="shared" si="8"/>
        <v>2.2500000000000004</v>
      </c>
      <c r="T36">
        <f t="shared" si="8"/>
        <v>1.3333333333333333</v>
      </c>
      <c r="U36">
        <f t="shared" si="8"/>
        <v>-0.14705882352941263</v>
      </c>
      <c r="V36">
        <f t="shared" si="8"/>
        <v>0.85000000000000009</v>
      </c>
      <c r="W36">
        <f t="shared" si="8"/>
        <v>0.75</v>
      </c>
      <c r="X36">
        <f t="shared" si="8"/>
        <v>2.75</v>
      </c>
      <c r="Y36">
        <f t="shared" si="8"/>
        <v>1.2499999999999993</v>
      </c>
      <c r="Z36">
        <f t="shared" si="8"/>
        <v>5.9999999999999982</v>
      </c>
      <c r="AA36">
        <f t="shared" si="8"/>
        <v>-0.15909090909090806</v>
      </c>
      <c r="AB36">
        <f t="shared" si="8"/>
        <v>0.49999999999999967</v>
      </c>
      <c r="AC36">
        <f t="shared" si="8"/>
        <v>0.50000000000000044</v>
      </c>
      <c r="AD36" s="16" t="e">
        <f t="shared" si="8"/>
        <v>#DIV/0!</v>
      </c>
      <c r="AE36">
        <f t="shared" si="8"/>
        <v>2.0357142857142856</v>
      </c>
      <c r="AF36">
        <f t="shared" si="8"/>
        <v>1.2763585733902694E-16</v>
      </c>
      <c r="AG36">
        <f t="shared" si="8"/>
        <v>1.2499999999999996</v>
      </c>
      <c r="AH36">
        <f t="shared" si="8"/>
        <v>2.25</v>
      </c>
      <c r="AI36">
        <f t="shared" si="8"/>
        <v>0.74999999999999989</v>
      </c>
      <c r="AJ36">
        <f t="shared" si="8"/>
        <v>1.3333333333333335</v>
      </c>
      <c r="AK36">
        <f t="shared" si="8"/>
        <v>5.25</v>
      </c>
      <c r="AL36">
        <f t="shared" si="8"/>
        <v>0</v>
      </c>
      <c r="AM36">
        <f t="shared" si="8"/>
        <v>0</v>
      </c>
      <c r="AN36">
        <f t="shared" si="8"/>
        <v>1.5</v>
      </c>
      <c r="AO36">
        <f t="shared" si="8"/>
        <v>0.3055555555555568</v>
      </c>
      <c r="AP36">
        <f t="shared" si="8"/>
        <v>-2.3534482758620716</v>
      </c>
      <c r="AQ36">
        <f t="shared" si="8"/>
        <v>2.4999999999999991</v>
      </c>
      <c r="AR36">
        <f t="shared" si="8"/>
        <v>4.4999999999999982</v>
      </c>
      <c r="AS36">
        <f t="shared" si="8"/>
        <v>-0.35000000000000037</v>
      </c>
      <c r="AT36" s="16" t="e">
        <f t="shared" si="8"/>
        <v>#DIV/0!</v>
      </c>
      <c r="AU36">
        <f t="shared" si="8"/>
        <v>3.2499999999999982</v>
      </c>
      <c r="AV36">
        <f t="shared" si="8"/>
        <v>0.15000000000000019</v>
      </c>
      <c r="AW36">
        <f t="shared" si="8"/>
        <v>2.4999999999999978</v>
      </c>
      <c r="AX36">
        <f t="shared" si="8"/>
        <v>2.5</v>
      </c>
      <c r="AY36">
        <f t="shared" si="8"/>
        <v>-0.66666666666666852</v>
      </c>
      <c r="AZ36">
        <f t="shared" si="8"/>
        <v>3.5000000000000049</v>
      </c>
      <c r="BA36">
        <f t="shared" si="8"/>
        <v>1.85</v>
      </c>
      <c r="BB36">
        <f t="shared" si="8"/>
        <v>1.45</v>
      </c>
      <c r="BC36">
        <f t="shared" si="8"/>
        <v>2.4423076923076912</v>
      </c>
      <c r="BD36">
        <f t="shared" si="8"/>
        <v>0.50000000000000056</v>
      </c>
      <c r="BE36">
        <f t="shared" si="8"/>
        <v>2.7500000000000004</v>
      </c>
      <c r="BF36">
        <f t="shared" si="8"/>
        <v>0.15909090909090839</v>
      </c>
      <c r="BG36">
        <f t="shared" si="8"/>
        <v>-0.34090909090909249</v>
      </c>
      <c r="BH36">
        <f t="shared" si="8"/>
        <v>2.3333333333333335</v>
      </c>
      <c r="BI36">
        <f t="shared" si="8"/>
        <v>4.375</v>
      </c>
      <c r="BJ36">
        <f t="shared" si="8"/>
        <v>2.5</v>
      </c>
      <c r="BK36">
        <f t="shared" si="8"/>
        <v>2.0000000000000004</v>
      </c>
    </row>
    <row r="37" spans="1:63" x14ac:dyDescent="0.3">
      <c r="A37" s="12" t="s">
        <v>38</v>
      </c>
      <c r="B37">
        <f>B20-MIN(B17:B20)/B$29</f>
        <v>0.66666666666666519</v>
      </c>
      <c r="C37">
        <f t="shared" ref="C37:BK37" si="9">C20-MIN(C17:C20)/C$29</f>
        <v>1.2727272727272738</v>
      </c>
      <c r="D37">
        <f t="shared" si="9"/>
        <v>0</v>
      </c>
      <c r="E37" s="16" t="e">
        <f t="shared" si="9"/>
        <v>#DIV/0!</v>
      </c>
      <c r="F37" s="16" t="e">
        <f t="shared" si="9"/>
        <v>#DIV/0!</v>
      </c>
      <c r="G37">
        <f t="shared" si="9"/>
        <v>1.499999999999998</v>
      </c>
      <c r="H37">
        <f t="shared" si="9"/>
        <v>0.49999999999999978</v>
      </c>
      <c r="I37">
        <f t="shared" si="9"/>
        <v>0</v>
      </c>
      <c r="J37">
        <f t="shared" si="9"/>
        <v>0.27272727272727171</v>
      </c>
      <c r="K37">
        <f t="shared" si="9"/>
        <v>0.66666666666666663</v>
      </c>
      <c r="L37">
        <f t="shared" si="9"/>
        <v>0</v>
      </c>
      <c r="M37">
        <f t="shared" si="9"/>
        <v>17.000000000000011</v>
      </c>
      <c r="N37" s="15" t="e">
        <f t="shared" si="9"/>
        <v>#DIV/0!</v>
      </c>
      <c r="O37">
        <f t="shared" si="9"/>
        <v>0</v>
      </c>
      <c r="P37">
        <f t="shared" si="9"/>
        <v>0</v>
      </c>
      <c r="Q37">
        <f t="shared" si="9"/>
        <v>0</v>
      </c>
      <c r="R37">
        <f t="shared" si="9"/>
        <v>0.42857142857142755</v>
      </c>
      <c r="S37">
        <f t="shared" si="9"/>
        <v>0</v>
      </c>
      <c r="T37">
        <f t="shared" si="9"/>
        <v>0.33333333333333298</v>
      </c>
      <c r="U37">
        <f t="shared" si="9"/>
        <v>0.35294117647058826</v>
      </c>
      <c r="V37">
        <f t="shared" si="9"/>
        <v>0.10000000000000013</v>
      </c>
      <c r="W37">
        <f t="shared" si="9"/>
        <v>0</v>
      </c>
      <c r="X37">
        <f t="shared" si="9"/>
        <v>0.74999999999999889</v>
      </c>
      <c r="Y37">
        <f t="shared" si="9"/>
        <v>0</v>
      </c>
      <c r="Z37">
        <f t="shared" si="9"/>
        <v>2.4277125802575757E-16</v>
      </c>
      <c r="AA37">
        <f t="shared" si="9"/>
        <v>9.0909090909090259E-2</v>
      </c>
      <c r="AB37">
        <f t="shared" si="9"/>
        <v>0.99999999999999956</v>
      </c>
      <c r="AC37">
        <f t="shared" si="9"/>
        <v>0.74999999999999967</v>
      </c>
      <c r="AD37" s="16" t="e">
        <f t="shared" si="9"/>
        <v>#DIV/0!</v>
      </c>
      <c r="AE37">
        <f t="shared" si="9"/>
        <v>0.28571428571428531</v>
      </c>
      <c r="AF37">
        <f t="shared" si="9"/>
        <v>2.7311766527897717E-16</v>
      </c>
      <c r="AG37">
        <f t="shared" si="9"/>
        <v>0</v>
      </c>
      <c r="AH37">
        <f t="shared" si="9"/>
        <v>0</v>
      </c>
      <c r="AI37">
        <f t="shared" si="9"/>
        <v>0.49999999999999972</v>
      </c>
      <c r="AJ37">
        <f t="shared" si="9"/>
        <v>0.3333333333333327</v>
      </c>
      <c r="AK37">
        <f t="shared" si="9"/>
        <v>0</v>
      </c>
      <c r="AL37">
        <f t="shared" si="9"/>
        <v>4.3263858607696052E-16</v>
      </c>
      <c r="AM37">
        <f t="shared" si="9"/>
        <v>1.1343731449299408E-16</v>
      </c>
      <c r="AN37">
        <f t="shared" si="9"/>
        <v>3.6415688703863643E-16</v>
      </c>
      <c r="AO37">
        <f t="shared" si="9"/>
        <v>5.5555555555554664E-2</v>
      </c>
      <c r="AP37">
        <f t="shared" si="9"/>
        <v>0.89655172413793138</v>
      </c>
      <c r="AQ37">
        <f t="shared" si="9"/>
        <v>1.9999999999999989</v>
      </c>
      <c r="AR37">
        <f t="shared" si="9"/>
        <v>0</v>
      </c>
      <c r="AS37">
        <f t="shared" si="9"/>
        <v>0.40000000000000041</v>
      </c>
      <c r="AT37" s="16" t="e">
        <f t="shared" si="9"/>
        <v>#DIV/0!</v>
      </c>
      <c r="AU37">
        <f t="shared" si="9"/>
        <v>0</v>
      </c>
      <c r="AV37">
        <f t="shared" si="9"/>
        <v>0.40000000000000036</v>
      </c>
      <c r="AW37">
        <f t="shared" si="9"/>
        <v>1.9999999999999976</v>
      </c>
      <c r="AX37">
        <f t="shared" si="9"/>
        <v>0.50000000000000011</v>
      </c>
      <c r="AY37">
        <f t="shared" si="9"/>
        <v>0.33333333333333376</v>
      </c>
      <c r="AZ37">
        <f t="shared" si="9"/>
        <v>3.0000000000000053</v>
      </c>
      <c r="BA37">
        <f t="shared" si="9"/>
        <v>9.9999999999999672E-2</v>
      </c>
      <c r="BB37">
        <f t="shared" si="9"/>
        <v>0.19999999999999979</v>
      </c>
      <c r="BC37">
        <f t="shared" si="9"/>
        <v>1.6923076923076921</v>
      </c>
      <c r="BD37">
        <f t="shared" si="9"/>
        <v>1.0000000000000007</v>
      </c>
      <c r="BE37">
        <f t="shared" si="9"/>
        <v>0</v>
      </c>
      <c r="BF37">
        <f t="shared" si="9"/>
        <v>0.90909090909090895</v>
      </c>
      <c r="BG37">
        <f t="shared" si="9"/>
        <v>0.90909090909090884</v>
      </c>
      <c r="BH37">
        <f t="shared" si="9"/>
        <v>0.83333333333333326</v>
      </c>
      <c r="BI37">
        <f t="shared" si="9"/>
        <v>0.37499999999999911</v>
      </c>
      <c r="BJ37">
        <f t="shared" si="9"/>
        <v>0</v>
      </c>
      <c r="BK37">
        <f t="shared" si="9"/>
        <v>0</v>
      </c>
    </row>
    <row r="38" spans="1:63" x14ac:dyDescent="0.3">
      <c r="A38" s="12" t="s">
        <v>7</v>
      </c>
      <c r="B38">
        <f>B21-MIN(B21:B24)/B$29</f>
        <v>1.8333333333333326</v>
      </c>
      <c r="C38">
        <f t="shared" ref="C38:BK38" si="10">C21-MIN(C21:C24)/C$29</f>
        <v>-0.27272727272727282</v>
      </c>
      <c r="D38">
        <f t="shared" si="10"/>
        <v>1.5714285714285716</v>
      </c>
      <c r="E38" s="16" t="e">
        <f t="shared" si="10"/>
        <v>#DIV/0!</v>
      </c>
      <c r="F38" s="16" t="e">
        <f t="shared" si="10"/>
        <v>#DIV/0!</v>
      </c>
      <c r="G38">
        <f t="shared" si="10"/>
        <v>1.0000000000000004</v>
      </c>
      <c r="H38">
        <f t="shared" si="10"/>
        <v>2.6521370819096691E-16</v>
      </c>
      <c r="I38">
        <f t="shared" si="10"/>
        <v>-2.2766286948172323E-19</v>
      </c>
      <c r="J38">
        <f t="shared" si="10"/>
        <v>0.18181818181818371</v>
      </c>
      <c r="K38">
        <f t="shared" si="10"/>
        <v>-0.16666666666666696</v>
      </c>
      <c r="L38">
        <f t="shared" si="10"/>
        <v>7.9564112457290076E-17</v>
      </c>
      <c r="M38">
        <f t="shared" si="10"/>
        <v>1.9999999999999976</v>
      </c>
      <c r="N38" s="15" t="e">
        <f t="shared" si="10"/>
        <v>#DIV/0!</v>
      </c>
      <c r="O38">
        <f t="shared" si="10"/>
        <v>2.7051798235478628E-15</v>
      </c>
      <c r="P38">
        <f t="shared" si="10"/>
        <v>0.22222222222222199</v>
      </c>
      <c r="Q38">
        <f t="shared" si="10"/>
        <v>1.2265688576478885E-15</v>
      </c>
      <c r="R38">
        <f t="shared" si="10"/>
        <v>-0.85714285714285765</v>
      </c>
      <c r="S38">
        <f t="shared" si="10"/>
        <v>0.66666666666666685</v>
      </c>
      <c r="T38">
        <f t="shared" si="10"/>
        <v>-0.16666666666666591</v>
      </c>
      <c r="U38">
        <f t="shared" si="10"/>
        <v>-0.76470588235294201</v>
      </c>
      <c r="V38">
        <f t="shared" si="10"/>
        <v>-0.89999999999999969</v>
      </c>
      <c r="W38">
        <f t="shared" si="10"/>
        <v>0.40000000000000013</v>
      </c>
      <c r="X38">
        <f t="shared" si="10"/>
        <v>-0.24999999999999939</v>
      </c>
      <c r="Y38">
        <f t="shared" si="10"/>
        <v>0.40000000000000008</v>
      </c>
      <c r="Z38">
        <f t="shared" si="10"/>
        <v>-6.7885961232823335E-16</v>
      </c>
      <c r="AA38">
        <f t="shared" si="10"/>
        <v>1.227272727272728</v>
      </c>
      <c r="AB38">
        <f t="shared" si="10"/>
        <v>0.5</v>
      </c>
      <c r="AC38">
        <f t="shared" si="10"/>
        <v>0.50000000000000067</v>
      </c>
      <c r="AD38" s="16" t="e">
        <f t="shared" si="10"/>
        <v>#DIV/0!</v>
      </c>
      <c r="AE38">
        <f t="shared" si="10"/>
        <v>1.0714285714285716</v>
      </c>
      <c r="AF38">
        <f t="shared" si="10"/>
        <v>0</v>
      </c>
      <c r="AG38">
        <f t="shared" si="10"/>
        <v>0.16666666666666619</v>
      </c>
      <c r="AH38">
        <f t="shared" si="10"/>
        <v>-0.89999999999999991</v>
      </c>
      <c r="AI38">
        <f t="shared" si="10"/>
        <v>1.3260685409548346E-16</v>
      </c>
      <c r="AJ38">
        <f t="shared" si="10"/>
        <v>0.50000000000000067</v>
      </c>
      <c r="AK38">
        <f t="shared" si="10"/>
        <v>6.6303427047741731E-16</v>
      </c>
      <c r="AL38">
        <f t="shared" si="10"/>
        <v>0</v>
      </c>
      <c r="AM38">
        <f t="shared" si="10"/>
        <v>2.1905352909895488E-17</v>
      </c>
      <c r="AN38">
        <f t="shared" si="10"/>
        <v>-0.16666666666666652</v>
      </c>
      <c r="AO38">
        <f t="shared" si="10"/>
        <v>9.9455140571612606E-16</v>
      </c>
      <c r="AP38">
        <f t="shared" si="10"/>
        <v>-1.8103448275862086</v>
      </c>
      <c r="AQ38">
        <f t="shared" si="10"/>
        <v>0.49999999999999944</v>
      </c>
      <c r="AR38">
        <f t="shared" si="10"/>
        <v>3.222222222222221</v>
      </c>
      <c r="AS38">
        <f t="shared" si="10"/>
        <v>0.49999999999999906</v>
      </c>
      <c r="AT38" s="16" t="e">
        <f t="shared" si="10"/>
        <v>#DIV/0!</v>
      </c>
      <c r="AU38">
        <f t="shared" si="10"/>
        <v>9.9999999999999575E-2</v>
      </c>
      <c r="AV38">
        <f t="shared" si="10"/>
        <v>6.3651289965832103E-17</v>
      </c>
      <c r="AW38">
        <f t="shared" si="10"/>
        <v>1.5</v>
      </c>
      <c r="AX38">
        <f t="shared" si="10"/>
        <v>7.781987735723486E-17</v>
      </c>
      <c r="AY38">
        <f t="shared" si="10"/>
        <v>-1.1315784882814594E-15</v>
      </c>
      <c r="AZ38">
        <f t="shared" si="10"/>
        <v>3</v>
      </c>
      <c r="BA38">
        <f t="shared" si="10"/>
        <v>1.9000000000000001</v>
      </c>
      <c r="BB38">
        <f t="shared" si="10"/>
        <v>1.0000000000000004</v>
      </c>
      <c r="BC38">
        <f t="shared" si="10"/>
        <v>-2.8561476266719537E-16</v>
      </c>
      <c r="BD38">
        <f t="shared" si="10"/>
        <v>0.50000000000000078</v>
      </c>
      <c r="BE38">
        <f t="shared" si="10"/>
        <v>0.50000000000000078</v>
      </c>
      <c r="BF38">
        <f t="shared" si="10"/>
        <v>-0.27272727272727304</v>
      </c>
      <c r="BG38">
        <f t="shared" si="10"/>
        <v>0.49999999999999928</v>
      </c>
      <c r="BH38">
        <f t="shared" si="10"/>
        <v>-0.33333333333333326</v>
      </c>
      <c r="BI38">
        <f t="shared" si="10"/>
        <v>-0.37499999999999906</v>
      </c>
      <c r="BJ38">
        <f t="shared" si="10"/>
        <v>0.99999999999999978</v>
      </c>
      <c r="BK38">
        <f t="shared" si="10"/>
        <v>3.0478789832138939E-16</v>
      </c>
    </row>
    <row r="39" spans="1:63" x14ac:dyDescent="0.3">
      <c r="A39" s="12" t="s">
        <v>9</v>
      </c>
      <c r="B39">
        <f>B22-MIN(B21:B24)/B$29</f>
        <v>0.33333333333333226</v>
      </c>
      <c r="C39">
        <f t="shared" ref="C39:BK39" si="11">C22-MIN(C21:C24)/C$29</f>
        <v>0.22727272727272807</v>
      </c>
      <c r="D39">
        <f t="shared" si="11"/>
        <v>-0.4285714285714296</v>
      </c>
      <c r="E39" s="16" t="e">
        <f t="shared" si="11"/>
        <v>#DIV/0!</v>
      </c>
      <c r="F39" s="16" t="e">
        <f t="shared" si="11"/>
        <v>#DIV/0!</v>
      </c>
      <c r="G39">
        <f t="shared" si="11"/>
        <v>0.99999999999999956</v>
      </c>
      <c r="H39">
        <f t="shared" si="11"/>
        <v>0</v>
      </c>
      <c r="I39">
        <f t="shared" si="11"/>
        <v>-1.5238405077506494E-16</v>
      </c>
      <c r="J39">
        <f t="shared" si="11"/>
        <v>-0.31818181818181879</v>
      </c>
      <c r="K39">
        <f t="shared" si="11"/>
        <v>1.3333333333333328</v>
      </c>
      <c r="L39">
        <f t="shared" si="11"/>
        <v>1.9876180535878052E-16</v>
      </c>
      <c r="M39">
        <f t="shared" si="11"/>
        <v>1.499999999999998</v>
      </c>
      <c r="N39" s="15" t="e">
        <f t="shared" si="11"/>
        <v>#DIV/0!</v>
      </c>
      <c r="O39">
        <f t="shared" si="11"/>
        <v>3.1801888857404881E-16</v>
      </c>
      <c r="P39">
        <f t="shared" si="11"/>
        <v>-0.27777777777777779</v>
      </c>
      <c r="Q39">
        <f t="shared" si="11"/>
        <v>-1.7888562482290248E-16</v>
      </c>
      <c r="R39">
        <f t="shared" si="11"/>
        <v>1.6428571428571415</v>
      </c>
      <c r="S39">
        <f t="shared" si="11"/>
        <v>-0.83333333333333315</v>
      </c>
      <c r="T39">
        <f t="shared" si="11"/>
        <v>-0.16666666666666674</v>
      </c>
      <c r="U39">
        <f t="shared" si="11"/>
        <v>1.235294117647058</v>
      </c>
      <c r="V39">
        <f t="shared" si="11"/>
        <v>-0.3999999999999998</v>
      </c>
      <c r="W39">
        <f t="shared" si="11"/>
        <v>-0.10000000000000003</v>
      </c>
      <c r="X39">
        <f t="shared" si="11"/>
        <v>-0.24999999999999989</v>
      </c>
      <c r="Y39">
        <f t="shared" si="11"/>
        <v>-9.9999999999999811E-2</v>
      </c>
      <c r="Z39">
        <f t="shared" si="11"/>
        <v>-6.9566631875573176E-16</v>
      </c>
      <c r="AA39">
        <f t="shared" si="11"/>
        <v>-1.2727272727272725</v>
      </c>
      <c r="AB39">
        <f t="shared" si="11"/>
        <v>0.49999999999999994</v>
      </c>
      <c r="AC39">
        <f t="shared" si="11"/>
        <v>1.9999999999999998</v>
      </c>
      <c r="AD39" s="16" t="e">
        <f t="shared" si="11"/>
        <v>#DIV/0!</v>
      </c>
      <c r="AE39">
        <f t="shared" si="11"/>
        <v>-0.42857142857142871</v>
      </c>
      <c r="AF39">
        <f t="shared" si="11"/>
        <v>2.2528317617787721E-16</v>
      </c>
      <c r="AG39">
        <f t="shared" si="11"/>
        <v>-0.33333333333333315</v>
      </c>
      <c r="AH39">
        <f t="shared" si="11"/>
        <v>-0.40000000000000013</v>
      </c>
      <c r="AI39">
        <f t="shared" si="11"/>
        <v>0.49999999999999983</v>
      </c>
      <c r="AJ39">
        <f t="shared" si="11"/>
        <v>0.50000000000000011</v>
      </c>
      <c r="AK39">
        <f t="shared" si="11"/>
        <v>0.49999999999999895</v>
      </c>
      <c r="AL39">
        <f t="shared" si="11"/>
        <v>3.4842953127240568E-16</v>
      </c>
      <c r="AM39">
        <f t="shared" si="11"/>
        <v>7.9504722143512202E-17</v>
      </c>
      <c r="AN39">
        <f t="shared" si="11"/>
        <v>-0.16666666666666624</v>
      </c>
      <c r="AO39">
        <f t="shared" si="11"/>
        <v>4.4999999999999956</v>
      </c>
      <c r="AP39">
        <f t="shared" si="11"/>
        <v>-1.3103448275862053</v>
      </c>
      <c r="AQ39">
        <f t="shared" si="11"/>
        <v>1.4999999999999989</v>
      </c>
      <c r="AR39">
        <f t="shared" si="11"/>
        <v>-0.77777777777777757</v>
      </c>
      <c r="AS39">
        <f t="shared" si="11"/>
        <v>0</v>
      </c>
      <c r="AT39" s="16" t="e">
        <f t="shared" si="11"/>
        <v>#DIV/0!</v>
      </c>
      <c r="AU39">
        <f t="shared" si="11"/>
        <v>-0.4000000000000003</v>
      </c>
      <c r="AV39">
        <f t="shared" si="11"/>
        <v>0.49999999999999994</v>
      </c>
      <c r="AW39">
        <f t="shared" si="11"/>
        <v>0.49999999999999967</v>
      </c>
      <c r="AX39">
        <f t="shared" si="11"/>
        <v>0.99999999999999956</v>
      </c>
      <c r="AY39">
        <f t="shared" si="11"/>
        <v>1.0000000000000004</v>
      </c>
      <c r="AZ39">
        <f t="shared" si="11"/>
        <v>2.0000000000000018</v>
      </c>
      <c r="BA39">
        <f t="shared" si="11"/>
        <v>-0.60000000000000053</v>
      </c>
      <c r="BB39">
        <f t="shared" si="11"/>
        <v>0.50000000000000011</v>
      </c>
      <c r="BC39">
        <f t="shared" si="11"/>
        <v>0.50000000000000044</v>
      </c>
      <c r="BD39">
        <f t="shared" si="11"/>
        <v>1.5000000000000007</v>
      </c>
      <c r="BE39">
        <f t="shared" si="11"/>
        <v>-4.0475131273060759E-16</v>
      </c>
      <c r="BF39">
        <f t="shared" si="11"/>
        <v>0.22727272727272724</v>
      </c>
      <c r="BG39">
        <f t="shared" si="11"/>
        <v>1.113066110009171E-15</v>
      </c>
      <c r="BH39">
        <f t="shared" si="11"/>
        <v>-1.3333333333333335</v>
      </c>
      <c r="BI39">
        <f t="shared" si="11"/>
        <v>0.62499999999999734</v>
      </c>
      <c r="BJ39">
        <f t="shared" si="11"/>
        <v>0.99999999999999922</v>
      </c>
      <c r="BK39">
        <f t="shared" si="11"/>
        <v>-2.7826652750229279E-16</v>
      </c>
    </row>
    <row r="40" spans="1:63" x14ac:dyDescent="0.3">
      <c r="A40" s="12" t="s">
        <v>36</v>
      </c>
      <c r="B40">
        <f>B23-MIN(B21:B24)/B$29</f>
        <v>1.3333333333333321</v>
      </c>
      <c r="C40">
        <f t="shared" ref="C40:BK40" si="12">C23-MIN(C21:C24)/C$29</f>
        <v>0.72727272727272785</v>
      </c>
      <c r="D40">
        <f t="shared" si="12"/>
        <v>7.1428571428571619E-2</v>
      </c>
      <c r="E40" s="16" t="e">
        <f t="shared" si="12"/>
        <v>#DIV/0!</v>
      </c>
      <c r="F40" s="16" t="e">
        <f t="shared" si="12"/>
        <v>#DIV/0!</v>
      </c>
      <c r="G40">
        <f t="shared" si="12"/>
        <v>0</v>
      </c>
      <c r="H40">
        <f t="shared" si="12"/>
        <v>0</v>
      </c>
      <c r="I40">
        <f t="shared" si="12"/>
        <v>3.0476810155013023E-16</v>
      </c>
      <c r="J40">
        <f t="shared" si="12"/>
        <v>0.18181818181818191</v>
      </c>
      <c r="K40">
        <f t="shared" si="12"/>
        <v>1.333333333333333</v>
      </c>
      <c r="L40">
        <f t="shared" si="12"/>
        <v>0</v>
      </c>
      <c r="M40">
        <f t="shared" si="12"/>
        <v>1.9999999999999971</v>
      </c>
      <c r="N40" s="15" t="e">
        <f t="shared" si="12"/>
        <v>#DIV/0!</v>
      </c>
      <c r="O40">
        <f t="shared" si="12"/>
        <v>0</v>
      </c>
      <c r="P40">
        <f t="shared" si="12"/>
        <v>0.22222222222222221</v>
      </c>
      <c r="Q40">
        <f t="shared" si="12"/>
        <v>5.9628541607634145E-17</v>
      </c>
      <c r="R40">
        <f t="shared" si="12"/>
        <v>1.142857142857141</v>
      </c>
      <c r="S40">
        <f t="shared" si="12"/>
        <v>0.66666666666666619</v>
      </c>
      <c r="T40">
        <f t="shared" si="12"/>
        <v>0.33333333333333348</v>
      </c>
      <c r="U40">
        <f t="shared" si="12"/>
        <v>0.2352941176470591</v>
      </c>
      <c r="V40">
        <f t="shared" si="12"/>
        <v>0.60000000000000009</v>
      </c>
      <c r="W40">
        <f t="shared" si="12"/>
        <v>0.39999999999999974</v>
      </c>
      <c r="X40">
        <f t="shared" si="12"/>
        <v>0.24999999999999956</v>
      </c>
      <c r="Y40">
        <f t="shared" si="12"/>
        <v>0.4000000000000003</v>
      </c>
      <c r="Z40">
        <f t="shared" si="12"/>
        <v>1.391332637511464E-16</v>
      </c>
      <c r="AA40">
        <f t="shared" si="12"/>
        <v>0.72727272727272674</v>
      </c>
      <c r="AB40">
        <f t="shared" si="12"/>
        <v>0</v>
      </c>
      <c r="AC40">
        <f t="shared" si="12"/>
        <v>0</v>
      </c>
      <c r="AD40" s="16" t="e">
        <f t="shared" si="12"/>
        <v>#DIV/0!</v>
      </c>
      <c r="AE40">
        <f t="shared" si="12"/>
        <v>0.57142857142857117</v>
      </c>
      <c r="AF40">
        <f t="shared" si="12"/>
        <v>2.6521370819096687E-17</v>
      </c>
      <c r="AG40">
        <f t="shared" si="12"/>
        <v>0.66666666666666674</v>
      </c>
      <c r="AH40">
        <f t="shared" si="12"/>
        <v>0.60000000000000009</v>
      </c>
      <c r="AI40">
        <f t="shared" si="12"/>
        <v>0</v>
      </c>
      <c r="AJ40">
        <f t="shared" si="12"/>
        <v>0</v>
      </c>
      <c r="AK40">
        <f t="shared" si="12"/>
        <v>0</v>
      </c>
      <c r="AL40">
        <f t="shared" si="12"/>
        <v>3.4842953127240558E-16</v>
      </c>
      <c r="AM40">
        <f t="shared" si="12"/>
        <v>0</v>
      </c>
      <c r="AN40">
        <f t="shared" si="12"/>
        <v>0.33333333333333337</v>
      </c>
      <c r="AO40">
        <f t="shared" si="12"/>
        <v>0</v>
      </c>
      <c r="AP40">
        <f t="shared" si="12"/>
        <v>0.68965517241379315</v>
      </c>
      <c r="AQ40">
        <f t="shared" si="12"/>
        <v>0.99999999999999911</v>
      </c>
      <c r="AR40">
        <f t="shared" si="12"/>
        <v>0.22222222222222229</v>
      </c>
      <c r="AS40">
        <f t="shared" si="12"/>
        <v>0</v>
      </c>
      <c r="AT40" s="16" t="e">
        <f t="shared" si="12"/>
        <v>#DIV/0!</v>
      </c>
      <c r="AU40">
        <f t="shared" si="12"/>
        <v>0.10000000000000014</v>
      </c>
      <c r="AV40">
        <f t="shared" si="12"/>
        <v>1.6973677324221888E-16</v>
      </c>
      <c r="AW40">
        <f t="shared" si="12"/>
        <v>1</v>
      </c>
      <c r="AX40">
        <f t="shared" si="12"/>
        <v>0</v>
      </c>
      <c r="AY40">
        <f t="shared" si="12"/>
        <v>5.6578924414072893E-16</v>
      </c>
      <c r="AZ40">
        <f t="shared" si="12"/>
        <v>4</v>
      </c>
      <c r="BA40">
        <f t="shared" si="12"/>
        <v>0.4000000000000003</v>
      </c>
      <c r="BB40">
        <f t="shared" si="12"/>
        <v>0</v>
      </c>
      <c r="BC40">
        <f t="shared" si="12"/>
        <v>4.5698362026751202E-16</v>
      </c>
      <c r="BD40">
        <f t="shared" si="12"/>
        <v>1.0000000000000011</v>
      </c>
      <c r="BE40">
        <f t="shared" si="12"/>
        <v>2.3128646441749002E-16</v>
      </c>
      <c r="BF40">
        <f t="shared" si="12"/>
        <v>0.72727272727272718</v>
      </c>
      <c r="BG40">
        <f t="shared" si="12"/>
        <v>0</v>
      </c>
      <c r="BH40">
        <f t="shared" si="12"/>
        <v>0.66666666666666696</v>
      </c>
      <c r="BI40">
        <f t="shared" si="12"/>
        <v>0.12499999999999965</v>
      </c>
      <c r="BJ40">
        <f t="shared" si="12"/>
        <v>0</v>
      </c>
      <c r="BK40">
        <f t="shared" si="12"/>
        <v>2.7826652750229269E-16</v>
      </c>
    </row>
    <row r="41" spans="1:63" x14ac:dyDescent="0.3">
      <c r="A41" s="12" t="s">
        <v>41</v>
      </c>
      <c r="B41">
        <f>B24-MIN(B21:B24)/B$29</f>
        <v>1.3333333333333321</v>
      </c>
      <c r="C41">
        <f t="shared" ref="C41:BK41" si="13">C24-MIN(C21:C24)/C$29</f>
        <v>0.72727272727272785</v>
      </c>
      <c r="D41">
        <f t="shared" si="13"/>
        <v>7.1428571428571619E-2</v>
      </c>
      <c r="E41" s="16" t="e">
        <f t="shared" si="13"/>
        <v>#DIV/0!</v>
      </c>
      <c r="F41" s="16" t="e">
        <f t="shared" si="13"/>
        <v>#DIV/0!</v>
      </c>
      <c r="G41">
        <f t="shared" si="13"/>
        <v>0</v>
      </c>
      <c r="H41">
        <f t="shared" si="13"/>
        <v>0</v>
      </c>
      <c r="I41">
        <f t="shared" si="13"/>
        <v>3.0476810155013023E-16</v>
      </c>
      <c r="J41">
        <f t="shared" si="13"/>
        <v>0.18181818181818191</v>
      </c>
      <c r="K41">
        <f t="shared" si="13"/>
        <v>1.333333333333333</v>
      </c>
      <c r="L41">
        <f t="shared" si="13"/>
        <v>0</v>
      </c>
      <c r="M41">
        <f t="shared" si="13"/>
        <v>1.9999999999999971</v>
      </c>
      <c r="N41" s="15" t="e">
        <f t="shared" si="13"/>
        <v>#DIV/0!</v>
      </c>
      <c r="O41">
        <f t="shared" si="13"/>
        <v>0</v>
      </c>
      <c r="P41">
        <f t="shared" si="13"/>
        <v>0.22222222222222221</v>
      </c>
      <c r="Q41">
        <f t="shared" si="13"/>
        <v>5.9628541607634145E-17</v>
      </c>
      <c r="R41">
        <f t="shared" si="13"/>
        <v>1.142857142857141</v>
      </c>
      <c r="S41">
        <f t="shared" si="13"/>
        <v>0.66666666666666619</v>
      </c>
      <c r="T41">
        <f t="shared" si="13"/>
        <v>0.33333333333333348</v>
      </c>
      <c r="U41">
        <f t="shared" si="13"/>
        <v>0.2352941176470591</v>
      </c>
      <c r="V41">
        <f t="shared" si="13"/>
        <v>0.60000000000000009</v>
      </c>
      <c r="W41">
        <f t="shared" si="13"/>
        <v>0.39999999999999974</v>
      </c>
      <c r="X41">
        <f t="shared" si="13"/>
        <v>0.24999999999999956</v>
      </c>
      <c r="Y41">
        <f t="shared" si="13"/>
        <v>0.4000000000000003</v>
      </c>
      <c r="Z41">
        <f t="shared" si="13"/>
        <v>1.391332637511464E-16</v>
      </c>
      <c r="AA41">
        <f t="shared" si="13"/>
        <v>0.72727272727272674</v>
      </c>
      <c r="AB41">
        <f t="shared" si="13"/>
        <v>0</v>
      </c>
      <c r="AC41">
        <f t="shared" si="13"/>
        <v>0</v>
      </c>
      <c r="AD41" s="16" t="e">
        <f t="shared" si="13"/>
        <v>#DIV/0!</v>
      </c>
      <c r="AE41">
        <f t="shared" si="13"/>
        <v>0.57142857142857117</v>
      </c>
      <c r="AF41">
        <f t="shared" si="13"/>
        <v>2.6521370819096687E-17</v>
      </c>
      <c r="AG41">
        <f t="shared" si="13"/>
        <v>0.66666666666666674</v>
      </c>
      <c r="AH41">
        <f t="shared" si="13"/>
        <v>0.60000000000000009</v>
      </c>
      <c r="AI41">
        <f t="shared" si="13"/>
        <v>0</v>
      </c>
      <c r="AJ41">
        <f t="shared" si="13"/>
        <v>0</v>
      </c>
      <c r="AK41">
        <f t="shared" si="13"/>
        <v>0</v>
      </c>
      <c r="AL41">
        <f t="shared" si="13"/>
        <v>3.4842953127240558E-16</v>
      </c>
      <c r="AM41">
        <f t="shared" si="13"/>
        <v>0</v>
      </c>
      <c r="AN41">
        <f t="shared" si="13"/>
        <v>0.33333333333333337</v>
      </c>
      <c r="AO41">
        <f t="shared" si="13"/>
        <v>0</v>
      </c>
      <c r="AP41">
        <f t="shared" si="13"/>
        <v>0.68965517241379315</v>
      </c>
      <c r="AQ41">
        <f t="shared" si="13"/>
        <v>0.99999999999999911</v>
      </c>
      <c r="AR41">
        <f t="shared" si="13"/>
        <v>0.22222222222222229</v>
      </c>
      <c r="AS41">
        <f t="shared" si="13"/>
        <v>0</v>
      </c>
      <c r="AT41" s="16" t="e">
        <f t="shared" si="13"/>
        <v>#DIV/0!</v>
      </c>
      <c r="AU41">
        <f t="shared" si="13"/>
        <v>0.10000000000000014</v>
      </c>
      <c r="AV41">
        <f t="shared" si="13"/>
        <v>1.6973677324221888E-16</v>
      </c>
      <c r="AW41">
        <f t="shared" si="13"/>
        <v>1</v>
      </c>
      <c r="AX41">
        <f t="shared" si="13"/>
        <v>0</v>
      </c>
      <c r="AY41">
        <f t="shared" si="13"/>
        <v>5.6578924414072893E-16</v>
      </c>
      <c r="AZ41">
        <f t="shared" si="13"/>
        <v>4</v>
      </c>
      <c r="BA41">
        <f t="shared" si="13"/>
        <v>0.4000000000000003</v>
      </c>
      <c r="BB41">
        <f t="shared" si="13"/>
        <v>0</v>
      </c>
      <c r="BC41">
        <f t="shared" si="13"/>
        <v>4.5698362026751202E-16</v>
      </c>
      <c r="BD41">
        <f t="shared" si="13"/>
        <v>1.0000000000000011</v>
      </c>
      <c r="BE41">
        <f t="shared" si="13"/>
        <v>2.3128646441749002E-16</v>
      </c>
      <c r="BF41">
        <f t="shared" si="13"/>
        <v>0.72727272727272718</v>
      </c>
      <c r="BG41">
        <f t="shared" si="13"/>
        <v>0</v>
      </c>
      <c r="BH41">
        <f t="shared" si="13"/>
        <v>0.66666666666666696</v>
      </c>
      <c r="BI41">
        <f t="shared" si="13"/>
        <v>0.12499999999999965</v>
      </c>
      <c r="BJ41">
        <f t="shared" si="13"/>
        <v>0</v>
      </c>
      <c r="BK41">
        <f t="shared" si="13"/>
        <v>2.7826652750229269E-16</v>
      </c>
    </row>
    <row r="42" spans="1:63" x14ac:dyDescent="0.3">
      <c r="E42" s="16"/>
      <c r="F42" s="16"/>
      <c r="N42" s="15"/>
      <c r="AD42" s="16"/>
      <c r="AT42" s="16"/>
    </row>
    <row r="43" spans="1:63" x14ac:dyDescent="0.3">
      <c r="A43" s="12" t="s">
        <v>44</v>
      </c>
      <c r="B43" t="str">
        <f>IF(B30&gt;B31,"Double","Single")</f>
        <v>Single</v>
      </c>
      <c r="C43" t="str">
        <f t="shared" ref="C43:BK43" si="14">IF(C30&gt;C31,"Double","Single")</f>
        <v>Double</v>
      </c>
      <c r="D43" t="str">
        <f t="shared" si="14"/>
        <v>Single</v>
      </c>
      <c r="E43" t="e">
        <f t="shared" si="14"/>
        <v>#DIV/0!</v>
      </c>
      <c r="F43" t="e">
        <f t="shared" si="14"/>
        <v>#DIV/0!</v>
      </c>
      <c r="G43" t="str">
        <f t="shared" si="14"/>
        <v>Single</v>
      </c>
      <c r="H43" t="str">
        <f t="shared" si="14"/>
        <v>Double</v>
      </c>
      <c r="I43" t="str">
        <f t="shared" si="14"/>
        <v>Double</v>
      </c>
      <c r="J43" t="str">
        <f t="shared" si="14"/>
        <v>Single</v>
      </c>
      <c r="K43" t="str">
        <f t="shared" si="14"/>
        <v>Double</v>
      </c>
      <c r="L43" t="str">
        <f t="shared" si="14"/>
        <v>Single</v>
      </c>
      <c r="M43" t="str">
        <f t="shared" si="14"/>
        <v>Single</v>
      </c>
      <c r="N43" t="e">
        <f t="shared" si="14"/>
        <v>#DIV/0!</v>
      </c>
      <c r="O43" t="str">
        <f t="shared" si="14"/>
        <v>Single</v>
      </c>
      <c r="P43" t="str">
        <f t="shared" si="14"/>
        <v>Single</v>
      </c>
      <c r="Q43" t="str">
        <f t="shared" si="14"/>
        <v>Single</v>
      </c>
      <c r="R43" t="str">
        <f t="shared" si="14"/>
        <v>Double</v>
      </c>
      <c r="S43" t="str">
        <f t="shared" si="14"/>
        <v>Single</v>
      </c>
      <c r="T43" t="str">
        <f t="shared" si="14"/>
        <v>Single</v>
      </c>
      <c r="U43" t="str">
        <f t="shared" si="14"/>
        <v>Double</v>
      </c>
      <c r="V43" t="str">
        <f t="shared" si="14"/>
        <v>Single</v>
      </c>
      <c r="W43" t="str">
        <f t="shared" si="14"/>
        <v>Single</v>
      </c>
      <c r="X43" t="str">
        <f t="shared" si="14"/>
        <v>Single</v>
      </c>
      <c r="Y43" t="str">
        <f t="shared" si="14"/>
        <v>Single</v>
      </c>
      <c r="Z43" t="str">
        <f t="shared" si="14"/>
        <v>Double</v>
      </c>
      <c r="AA43" t="str">
        <f t="shared" si="14"/>
        <v>Single</v>
      </c>
      <c r="AB43" t="str">
        <f t="shared" si="14"/>
        <v>Single</v>
      </c>
      <c r="AC43" t="str">
        <f t="shared" si="14"/>
        <v>Single</v>
      </c>
      <c r="AD43" t="e">
        <f t="shared" si="14"/>
        <v>#DIV/0!</v>
      </c>
      <c r="AE43" t="str">
        <f t="shared" si="14"/>
        <v>Single</v>
      </c>
      <c r="AF43" t="str">
        <f t="shared" si="14"/>
        <v>Single</v>
      </c>
      <c r="AG43" t="str">
        <f t="shared" si="14"/>
        <v>Single</v>
      </c>
      <c r="AH43" t="str">
        <f t="shared" si="14"/>
        <v>Single</v>
      </c>
      <c r="AI43" t="str">
        <f t="shared" si="14"/>
        <v>Single</v>
      </c>
      <c r="AJ43" t="str">
        <f t="shared" si="14"/>
        <v>Single</v>
      </c>
      <c r="AK43" t="str">
        <f t="shared" si="14"/>
        <v>Double</v>
      </c>
      <c r="AL43" t="str">
        <f t="shared" si="14"/>
        <v>Single</v>
      </c>
      <c r="AM43" t="str">
        <f t="shared" si="14"/>
        <v>Single</v>
      </c>
      <c r="AN43" t="str">
        <f t="shared" si="14"/>
        <v>Single</v>
      </c>
      <c r="AO43" t="str">
        <f t="shared" si="14"/>
        <v>Double</v>
      </c>
      <c r="AP43" t="str">
        <f t="shared" si="14"/>
        <v>Double</v>
      </c>
      <c r="AQ43" t="str">
        <f t="shared" si="14"/>
        <v>Single</v>
      </c>
      <c r="AR43" t="str">
        <f t="shared" si="14"/>
        <v>Single</v>
      </c>
      <c r="AS43" t="str">
        <f t="shared" si="14"/>
        <v>Double</v>
      </c>
      <c r="AT43" t="e">
        <f t="shared" si="14"/>
        <v>#DIV/0!</v>
      </c>
      <c r="AU43" t="str">
        <f t="shared" si="14"/>
        <v>Single</v>
      </c>
      <c r="AV43" t="str">
        <f t="shared" si="14"/>
        <v>Single</v>
      </c>
      <c r="AW43" t="str">
        <f t="shared" si="14"/>
        <v>Single</v>
      </c>
      <c r="AX43" t="str">
        <f t="shared" si="14"/>
        <v>Single</v>
      </c>
      <c r="AY43" t="str">
        <f t="shared" si="14"/>
        <v>Double</v>
      </c>
      <c r="AZ43" t="str">
        <f t="shared" si="14"/>
        <v>Single</v>
      </c>
      <c r="BA43" t="str">
        <f t="shared" si="14"/>
        <v>Single</v>
      </c>
      <c r="BB43" t="str">
        <f t="shared" si="14"/>
        <v>Single</v>
      </c>
      <c r="BC43" t="str">
        <f t="shared" si="14"/>
        <v>Double</v>
      </c>
      <c r="BD43" t="str">
        <f t="shared" si="14"/>
        <v>Single</v>
      </c>
      <c r="BE43" t="str">
        <f t="shared" si="14"/>
        <v>Single</v>
      </c>
      <c r="BF43" t="str">
        <f t="shared" si="14"/>
        <v>Double</v>
      </c>
      <c r="BG43" t="str">
        <f t="shared" si="14"/>
        <v>Double</v>
      </c>
      <c r="BH43" t="str">
        <f t="shared" si="14"/>
        <v>Single</v>
      </c>
      <c r="BI43" t="str">
        <f t="shared" si="14"/>
        <v>Single</v>
      </c>
      <c r="BJ43" t="str">
        <f t="shared" si="14"/>
        <v>Double</v>
      </c>
      <c r="BK43" t="str">
        <f t="shared" si="14"/>
        <v>Single</v>
      </c>
    </row>
    <row r="44" spans="1:63" x14ac:dyDescent="0.3">
      <c r="A44" s="12" t="s">
        <v>3</v>
      </c>
      <c r="B44">
        <f>IF(B32&gt;B33,8.95,11.95)</f>
        <v>11.95</v>
      </c>
      <c r="C44">
        <f t="shared" ref="C44:BK44" si="15">IF(C32&gt;C33,8.95,11.95)</f>
        <v>8.9499999999999993</v>
      </c>
      <c r="D44">
        <f t="shared" si="15"/>
        <v>11.95</v>
      </c>
      <c r="E44" t="e">
        <f t="shared" si="15"/>
        <v>#DIV/0!</v>
      </c>
      <c r="F44" t="e">
        <f t="shared" si="15"/>
        <v>#DIV/0!</v>
      </c>
      <c r="G44">
        <f t="shared" si="15"/>
        <v>11.95</v>
      </c>
      <c r="H44">
        <f t="shared" si="15"/>
        <v>11.95</v>
      </c>
      <c r="I44">
        <f t="shared" si="15"/>
        <v>8.9499999999999993</v>
      </c>
      <c r="J44">
        <f t="shared" si="15"/>
        <v>11.95</v>
      </c>
      <c r="K44">
        <f t="shared" si="15"/>
        <v>8.9499999999999993</v>
      </c>
      <c r="L44">
        <f t="shared" si="15"/>
        <v>11.95</v>
      </c>
      <c r="M44">
        <f t="shared" si="15"/>
        <v>11.95</v>
      </c>
      <c r="N44" t="e">
        <f t="shared" si="15"/>
        <v>#DIV/0!</v>
      </c>
      <c r="O44">
        <f t="shared" si="15"/>
        <v>11.95</v>
      </c>
      <c r="P44">
        <f t="shared" si="15"/>
        <v>11.95</v>
      </c>
      <c r="Q44">
        <f t="shared" si="15"/>
        <v>11.95</v>
      </c>
      <c r="R44">
        <f t="shared" si="15"/>
        <v>11.95</v>
      </c>
      <c r="S44">
        <f t="shared" si="15"/>
        <v>11.95</v>
      </c>
      <c r="T44">
        <f t="shared" si="15"/>
        <v>11.95</v>
      </c>
      <c r="U44">
        <f t="shared" si="15"/>
        <v>8.9499999999999993</v>
      </c>
      <c r="V44">
        <f t="shared" si="15"/>
        <v>11.95</v>
      </c>
      <c r="W44">
        <f t="shared" si="15"/>
        <v>11.95</v>
      </c>
      <c r="X44">
        <f t="shared" si="15"/>
        <v>11.95</v>
      </c>
      <c r="Y44">
        <f t="shared" si="15"/>
        <v>8.9499999999999993</v>
      </c>
      <c r="Z44">
        <f t="shared" si="15"/>
        <v>8.9499999999999993</v>
      </c>
      <c r="AA44">
        <f t="shared" si="15"/>
        <v>11.95</v>
      </c>
      <c r="AB44">
        <f t="shared" si="15"/>
        <v>8.9499999999999993</v>
      </c>
      <c r="AC44">
        <f t="shared" si="15"/>
        <v>8.9499999999999993</v>
      </c>
      <c r="AD44" t="e">
        <f t="shared" si="15"/>
        <v>#DIV/0!</v>
      </c>
      <c r="AE44">
        <f t="shared" si="15"/>
        <v>11.95</v>
      </c>
      <c r="AF44">
        <f t="shared" si="15"/>
        <v>11.95</v>
      </c>
      <c r="AG44">
        <f t="shared" si="15"/>
        <v>11.95</v>
      </c>
      <c r="AH44">
        <f t="shared" si="15"/>
        <v>11.95</v>
      </c>
      <c r="AI44">
        <f t="shared" si="15"/>
        <v>11.95</v>
      </c>
      <c r="AJ44">
        <f t="shared" si="15"/>
        <v>11.95</v>
      </c>
      <c r="AK44">
        <f t="shared" si="15"/>
        <v>8.9499999999999993</v>
      </c>
      <c r="AL44">
        <f t="shared" si="15"/>
        <v>8.9499999999999993</v>
      </c>
      <c r="AM44">
        <f t="shared" si="15"/>
        <v>8.9499999999999993</v>
      </c>
      <c r="AN44">
        <f t="shared" si="15"/>
        <v>8.9499999999999993</v>
      </c>
      <c r="AO44">
        <f t="shared" si="15"/>
        <v>11.95</v>
      </c>
      <c r="AP44">
        <f t="shared" si="15"/>
        <v>8.9499999999999993</v>
      </c>
      <c r="AQ44">
        <f t="shared" si="15"/>
        <v>11.95</v>
      </c>
      <c r="AR44">
        <f t="shared" si="15"/>
        <v>8.9499999999999993</v>
      </c>
      <c r="AS44">
        <f t="shared" si="15"/>
        <v>8.9499999999999993</v>
      </c>
      <c r="AT44" t="e">
        <f t="shared" si="15"/>
        <v>#DIV/0!</v>
      </c>
      <c r="AU44">
        <f t="shared" si="15"/>
        <v>11.95</v>
      </c>
      <c r="AV44">
        <f t="shared" si="15"/>
        <v>8.9499999999999993</v>
      </c>
      <c r="AW44">
        <f t="shared" si="15"/>
        <v>11.95</v>
      </c>
      <c r="AX44">
        <f t="shared" si="15"/>
        <v>11.95</v>
      </c>
      <c r="AY44">
        <f t="shared" si="15"/>
        <v>8.9499999999999993</v>
      </c>
      <c r="AZ44">
        <f t="shared" si="15"/>
        <v>11.95</v>
      </c>
      <c r="BA44">
        <f t="shared" si="15"/>
        <v>11.95</v>
      </c>
      <c r="BB44">
        <f t="shared" si="15"/>
        <v>11.95</v>
      </c>
      <c r="BC44">
        <f t="shared" si="15"/>
        <v>8.9499999999999993</v>
      </c>
      <c r="BD44">
        <f t="shared" si="15"/>
        <v>8.9499999999999993</v>
      </c>
      <c r="BE44">
        <f t="shared" si="15"/>
        <v>11.95</v>
      </c>
      <c r="BF44">
        <f t="shared" si="15"/>
        <v>8.9499999999999993</v>
      </c>
      <c r="BG44">
        <f t="shared" si="15"/>
        <v>8.9499999999999993</v>
      </c>
      <c r="BH44">
        <f t="shared" si="15"/>
        <v>11.95</v>
      </c>
      <c r="BI44">
        <f t="shared" si="15"/>
        <v>11.95</v>
      </c>
      <c r="BJ44">
        <f t="shared" si="15"/>
        <v>8.9499999999999993</v>
      </c>
      <c r="BK44">
        <f t="shared" si="15"/>
        <v>11.95</v>
      </c>
    </row>
    <row r="45" spans="1:63" x14ac:dyDescent="0.3">
      <c r="A45" s="12" t="s">
        <v>43</v>
      </c>
      <c r="B45" t="str" cm="1">
        <f t="array" ref="B45">_xlfn.TEXTJOIN(", ", TRUE, _xlfn._xlws.FILTER($A$34:$A$37, B34:B37 = MAX(B34:B37)))</f>
        <v>Cauliflower, Paneer</v>
      </c>
      <c r="C45" t="str" cm="1">
        <f t="array" ref="C45">_xlfn.TEXTJOIN(", ", TRUE, _xlfn._xlws.FILTER($A$34:$A$37, C34:C37 = MAX(C34:C37)))</f>
        <v>Potato</v>
      </c>
      <c r="D45" t="str" cm="1">
        <f t="array" ref="D45">_xlfn.TEXTJOIN(", ", TRUE, _xlfn._xlws.FILTER($A$34:$A$37, D34:D37 = MAX(D34:D37)))</f>
        <v>Paneer</v>
      </c>
      <c r="E45" t="e" cm="1">
        <f t="array" ref="E45">_xlfn.TEXTJOIN(", ", TRUE, _xlfn._xlws.FILTER($A$34:$A$37, E34:E37 = MAX(E34:E37)))</f>
        <v>#DIV/0!</v>
      </c>
      <c r="F45" t="e" cm="1">
        <f t="array" ref="F45">_xlfn.TEXTJOIN(", ", TRUE, _xlfn._xlws.FILTER($A$34:$A$37, F34:F37 = MAX(F34:F37)))</f>
        <v>#DIV/0!</v>
      </c>
      <c r="G45" t="str" cm="1">
        <f t="array" ref="G45">_xlfn.TEXTJOIN(", ", TRUE, _xlfn._xlws.FILTER($A$34:$A$37, G34:G37 = MAX(G34:G37)))</f>
        <v>Potato</v>
      </c>
      <c r="H45" t="str" cm="1">
        <f t="array" ref="H45">_xlfn.TEXTJOIN(", ", TRUE, _xlfn._xlws.FILTER($A$34:$A$37, H34:H37 = MAX(H34:H37)))</f>
        <v>Cauliflower, Paneer</v>
      </c>
      <c r="I45" t="str" cm="1">
        <f t="array" ref="I45">_xlfn.TEXTJOIN(", ", TRUE, _xlfn._xlws.FILTER($A$34:$A$37, I34:I37 = MAX(I34:I37)))</f>
        <v>Paneer</v>
      </c>
      <c r="J45" t="str" cm="1">
        <f t="array" ref="J45">_xlfn.TEXTJOIN(", ", TRUE, _xlfn._xlws.FILTER($A$34:$A$37, J34:J37 = MAX(J34:J37)))</f>
        <v>Cauliflower</v>
      </c>
      <c r="K45" t="str" cm="1">
        <f t="array" ref="K45">_xlfn.TEXTJOIN(", ", TRUE, _xlfn._xlws.FILTER($A$34:$A$37, K34:K37 = MAX(K34:K37)))</f>
        <v>Soy</v>
      </c>
      <c r="L45" t="str" cm="1">
        <f t="array" ref="L45">_xlfn.TEXTJOIN(", ", TRUE, _xlfn._xlws.FILTER($A$34:$A$37, L34:L37 = MAX(L34:L37)))</f>
        <v>Cauliflower, Paneer</v>
      </c>
      <c r="M45" t="str" cm="1">
        <f t="array" ref="M45">_xlfn.TEXTJOIN(", ", TRUE, _xlfn._xlws.FILTER($A$34:$A$37, M34:M37 = MAX(M34:M37)))</f>
        <v>Paneer</v>
      </c>
      <c r="N45" t="e" cm="1">
        <f t="array" ref="N45">_xlfn.TEXTJOIN(", ", TRUE, _xlfn._xlws.FILTER($A$34:$A$37, N34:N37 = MAX(N34:N37)))</f>
        <v>#DIV/0!</v>
      </c>
      <c r="O45" t="str" cm="1">
        <f t="array" ref="O45">_xlfn.TEXTJOIN(", ", TRUE, _xlfn._xlws.FILTER($A$34:$A$37, O34:O37 = MAX(O34:O37)))</f>
        <v>Cauliflower, Paneer</v>
      </c>
      <c r="P45" t="str" cm="1">
        <f t="array" ref="P45">_xlfn.TEXTJOIN(", ", TRUE, _xlfn._xlws.FILTER($A$34:$A$37, P34:P37 = MAX(P34:P37)))</f>
        <v>Paneer</v>
      </c>
      <c r="Q45" t="str" cm="1">
        <f t="array" ref="Q45">_xlfn.TEXTJOIN(", ", TRUE, _xlfn._xlws.FILTER($A$34:$A$37, Q34:Q37 = MAX(Q34:Q37)))</f>
        <v>Potato, Paneer</v>
      </c>
      <c r="R45" t="str" cm="1">
        <f t="array" ref="R45">_xlfn.TEXTJOIN(", ", TRUE, _xlfn._xlws.FILTER($A$34:$A$37, R34:R37 = MAX(R34:R37)))</f>
        <v>Paneer</v>
      </c>
      <c r="S45" t="str" cm="1">
        <f t="array" ref="S45">_xlfn.TEXTJOIN(", ", TRUE, _xlfn._xlws.FILTER($A$34:$A$37, S34:S37 = MAX(S34:S37)))</f>
        <v>Paneer</v>
      </c>
      <c r="T45" t="str" cm="1">
        <f t="array" ref="T45">_xlfn.TEXTJOIN(", ", TRUE, _xlfn._xlws.FILTER($A$34:$A$37, T34:T37 = MAX(T34:T37)))</f>
        <v>Potato</v>
      </c>
      <c r="U45" t="str" cm="1">
        <f t="array" ref="U45">_xlfn.TEXTJOIN(", ", TRUE, _xlfn._xlws.FILTER($A$34:$A$37, U34:U37 = MAX(U34:U37)))</f>
        <v>Potato</v>
      </c>
      <c r="V45" t="str" cm="1">
        <f t="array" ref="V45">_xlfn.TEXTJOIN(", ", TRUE, _xlfn._xlws.FILTER($A$34:$A$37, V34:V37 = MAX(V34:V37)))</f>
        <v>Potato</v>
      </c>
      <c r="W45" t="str" cm="1">
        <f t="array" ref="W45">_xlfn.TEXTJOIN(", ", TRUE, _xlfn._xlws.FILTER($A$34:$A$37, W34:W37 = MAX(W34:W37)))</f>
        <v>Cauliflower</v>
      </c>
      <c r="X45" t="str" cm="1">
        <f t="array" ref="X45">_xlfn.TEXTJOIN(", ", TRUE, _xlfn._xlws.FILTER($A$34:$A$37, X34:X37 = MAX(X34:X37)))</f>
        <v>Paneer</v>
      </c>
      <c r="Y45" t="str" cm="1">
        <f t="array" ref="Y45">_xlfn.TEXTJOIN(", ", TRUE, _xlfn._xlws.FILTER($A$34:$A$37, Y34:Y37 = MAX(Y34:Y37)))</f>
        <v>Paneer</v>
      </c>
      <c r="Z45" t="str" cm="1">
        <f t="array" ref="Z45">_xlfn.TEXTJOIN(", ", TRUE, _xlfn._xlws.FILTER($A$34:$A$37, Z34:Z37 = MAX(Z34:Z37)))</f>
        <v>Paneer</v>
      </c>
      <c r="AA45" t="str" cm="1">
        <f t="array" ref="AA45">_xlfn.TEXTJOIN(", ", TRUE, _xlfn._xlws.FILTER($A$34:$A$37, AA34:AA37 = MAX(AA34:AA37)))</f>
        <v>Cauliflower</v>
      </c>
      <c r="AB45" t="str" cm="1">
        <f t="array" ref="AB45">_xlfn.TEXTJOIN(", ", TRUE, _xlfn._xlws.FILTER($A$34:$A$37, AB34:AB37 = MAX(AB34:AB37)))</f>
        <v>Cauliflower, Soy</v>
      </c>
      <c r="AC45" t="str" cm="1">
        <f t="array" ref="AC45">_xlfn.TEXTJOIN(", ", TRUE, _xlfn._xlws.FILTER($A$34:$A$37, AC34:AC37 = MAX(AC34:AC37)))</f>
        <v>Cauliflower</v>
      </c>
      <c r="AD45" t="e" cm="1">
        <f t="array" ref="AD45">_xlfn.TEXTJOIN(", ", TRUE, _xlfn._xlws.FILTER($A$34:$A$37, AD34:AD37 = MAX(AD34:AD37)))</f>
        <v>#DIV/0!</v>
      </c>
      <c r="AE45" t="str" cm="1">
        <f t="array" ref="AE45">_xlfn.TEXTJOIN(", ", TRUE, _xlfn._xlws.FILTER($A$34:$A$37, AE34:AE37 = MAX(AE34:AE37)))</f>
        <v>Paneer</v>
      </c>
      <c r="AF45" t="str" cm="1">
        <f t="array" ref="AF45">_xlfn.TEXTJOIN(", ", TRUE, _xlfn._xlws.FILTER($A$34:$A$37, AF34:AF37 = MAX(AF34:AF37)))</f>
        <v>Soy</v>
      </c>
      <c r="AG45" t="str" cm="1">
        <f t="array" ref="AG45">_xlfn.TEXTJOIN(", ", TRUE, _xlfn._xlws.FILTER($A$34:$A$37, AG34:AG37 = MAX(AG34:AG37)))</f>
        <v>Potato</v>
      </c>
      <c r="AH45" t="str" cm="1">
        <f t="array" ref="AH45">_xlfn.TEXTJOIN(", ", TRUE, _xlfn._xlws.FILTER($A$34:$A$37, AH34:AH37 = MAX(AH34:AH37)))</f>
        <v>Potato</v>
      </c>
      <c r="AI45" t="str" cm="1">
        <f t="array" ref="AI45">_xlfn.TEXTJOIN(", ", TRUE, _xlfn._xlws.FILTER($A$34:$A$37, AI34:AI37 = MAX(AI34:AI37)))</f>
        <v>Paneer</v>
      </c>
      <c r="AJ45" t="str" cm="1">
        <f t="array" ref="AJ45">_xlfn.TEXTJOIN(", ", TRUE, _xlfn._xlws.FILTER($A$34:$A$37, AJ34:AJ37 = MAX(AJ34:AJ37)))</f>
        <v>Cauliflower</v>
      </c>
      <c r="AK45" t="str" cm="1">
        <f t="array" ref="AK45">_xlfn.TEXTJOIN(", ", TRUE, _xlfn._xlws.FILTER($A$34:$A$37, AK34:AK37 = MAX(AK34:AK37)))</f>
        <v>Paneer</v>
      </c>
      <c r="AL45" t="str" cm="1">
        <f t="array" ref="AL45">_xlfn.TEXTJOIN(", ", TRUE, _xlfn._xlws.FILTER($A$34:$A$37, AL34:AL37 = MAX(AL34:AL37)))</f>
        <v>Soy</v>
      </c>
      <c r="AM45" t="str" cm="1">
        <f t="array" ref="AM45">_xlfn.TEXTJOIN(", ", TRUE, _xlfn._xlws.FILTER($A$34:$A$37, AM34:AM37 = MAX(AM34:AM37)))</f>
        <v>Cauliflower</v>
      </c>
      <c r="AN45" t="str" cm="1">
        <f t="array" ref="AN45">_xlfn.TEXTJOIN(", ", TRUE, _xlfn._xlws.FILTER($A$34:$A$37, AN34:AN37 = MAX(AN34:AN37)))</f>
        <v>Paneer</v>
      </c>
      <c r="AO45" t="str" cm="1">
        <f t="array" ref="AO45">_xlfn.TEXTJOIN(", ", TRUE, _xlfn._xlws.FILTER($A$34:$A$37, AO34:AO37 = MAX(AO34:AO37)))</f>
        <v>Paneer</v>
      </c>
      <c r="AP45" t="str" cm="1">
        <f t="array" ref="AP45">_xlfn.TEXTJOIN(", ", TRUE, _xlfn._xlws.FILTER($A$34:$A$37, AP34:AP37 = MAX(AP34:AP37)))</f>
        <v>Potato</v>
      </c>
      <c r="AQ45" t="str" cm="1">
        <f t="array" ref="AQ45">_xlfn.TEXTJOIN(", ", TRUE, _xlfn._xlws.FILTER($A$34:$A$37, AQ34:AQ37 = MAX(AQ34:AQ37)))</f>
        <v>Potato, Paneer</v>
      </c>
      <c r="AR45" t="str" cm="1">
        <f t="array" ref="AR45">_xlfn.TEXTJOIN(", ", TRUE, _xlfn._xlws.FILTER($A$34:$A$37, AR34:AR37 = MAX(AR34:AR37)))</f>
        <v>Paneer</v>
      </c>
      <c r="AS45" t="str" cm="1">
        <f t="array" ref="AS45">_xlfn.TEXTJOIN(", ", TRUE, _xlfn._xlws.FILTER($A$34:$A$37, AS34:AS37 = MAX(AS34:AS37)))</f>
        <v>Potato</v>
      </c>
      <c r="AT45" t="e" cm="1">
        <f t="array" ref="AT45">_xlfn.TEXTJOIN(", ", TRUE, _xlfn._xlws.FILTER($A$34:$A$37, AT34:AT37 = MAX(AT34:AT37)))</f>
        <v>#DIV/0!</v>
      </c>
      <c r="AU45" t="str" cm="1">
        <f t="array" ref="AU45">_xlfn.TEXTJOIN(", ", TRUE, _xlfn._xlws.FILTER($A$34:$A$37, AU34:AU37 = MAX(AU34:AU37)))</f>
        <v>Potato</v>
      </c>
      <c r="AV45" t="str" cm="1">
        <f t="array" ref="AV45">_xlfn.TEXTJOIN(", ", TRUE, _xlfn._xlws.FILTER($A$34:$A$37, AV34:AV37 = MAX(AV34:AV37)))</f>
        <v>Cauliflower</v>
      </c>
      <c r="AW45" t="str" cm="1">
        <f t="array" ref="AW45">_xlfn.TEXTJOIN(", ", TRUE, _xlfn._xlws.FILTER($A$34:$A$37, AW34:AW37 = MAX(AW34:AW37)))</f>
        <v>Potato, Paneer</v>
      </c>
      <c r="AX45" t="str" cm="1">
        <f t="array" ref="AX45">_xlfn.TEXTJOIN(", ", TRUE, _xlfn._xlws.FILTER($A$34:$A$37, AX34:AX37 = MAX(AX34:AX37)))</f>
        <v>Paneer</v>
      </c>
      <c r="AY45" t="str" cm="1">
        <f t="array" ref="AY45">_xlfn.TEXTJOIN(", ", TRUE, _xlfn._xlws.FILTER($A$34:$A$37, AY34:AY37 = MAX(AY34:AY37)))</f>
        <v>Potato</v>
      </c>
      <c r="AZ45" t="str" cm="1">
        <f t="array" ref="AZ45">_xlfn.TEXTJOIN(", ", TRUE, _xlfn._xlws.FILTER($A$34:$A$37, AZ34:AZ37 = MAX(AZ34:AZ37)))</f>
        <v>Paneer</v>
      </c>
      <c r="BA45" t="str" cm="1">
        <f t="array" ref="BA45">_xlfn.TEXTJOIN(", ", TRUE, _xlfn._xlws.FILTER($A$34:$A$37, BA34:BA37 = MAX(BA34:BA37)))</f>
        <v>Potato</v>
      </c>
      <c r="BB45" t="str" cm="1">
        <f t="array" ref="BB45">_xlfn.TEXTJOIN(", ", TRUE, _xlfn._xlws.FILTER($A$34:$A$37, BB34:BB37 = MAX(BB34:BB37)))</f>
        <v>Paneer</v>
      </c>
      <c r="BC45" t="str" cm="1">
        <f t="array" ref="BC45">_xlfn.TEXTJOIN(", ", TRUE, _xlfn._xlws.FILTER($A$34:$A$37, BC34:BC37 = MAX(BC34:BC37)))</f>
        <v>Potato</v>
      </c>
      <c r="BD45" t="str" cm="1">
        <f t="array" ref="BD45">_xlfn.TEXTJOIN(", ", TRUE, _xlfn._xlws.FILTER($A$34:$A$37, BD34:BD37 = MAX(BD34:BD37)))</f>
        <v>Potato</v>
      </c>
      <c r="BE45" t="str" cm="1">
        <f t="array" ref="BE45">_xlfn.TEXTJOIN(", ", TRUE, _xlfn._xlws.FILTER($A$34:$A$37, BE34:BE37 = MAX(BE34:BE37)))</f>
        <v>Paneer</v>
      </c>
      <c r="BF45" t="str" cm="1">
        <f t="array" ref="BF45">_xlfn.TEXTJOIN(", ", TRUE, _xlfn._xlws.FILTER($A$34:$A$37, BF34:BF37 = MAX(BF34:BF37)))</f>
        <v>Potato, Soy</v>
      </c>
      <c r="BG45" t="str" cm="1">
        <f t="array" ref="BG45">_xlfn.TEXTJOIN(", ", TRUE, _xlfn._xlws.FILTER($A$34:$A$37, BG34:BG37 = MAX(BG34:BG37)))</f>
        <v>Cauliflower</v>
      </c>
      <c r="BH45" t="str" cm="1">
        <f t="array" ref="BH45">_xlfn.TEXTJOIN(", ", TRUE, _xlfn._xlws.FILTER($A$34:$A$37, BH34:BH37 = MAX(BH34:BH37)))</f>
        <v>Potato</v>
      </c>
      <c r="BI45" t="str" cm="1">
        <f t="array" ref="BI45">_xlfn.TEXTJOIN(", ", TRUE, _xlfn._xlws.FILTER($A$34:$A$37, BI34:BI37 = MAX(BI34:BI37)))</f>
        <v>Paneer</v>
      </c>
      <c r="BJ45" t="str" cm="1">
        <f t="array" ref="BJ45">_xlfn.TEXTJOIN(", ", TRUE, _xlfn._xlws.FILTER($A$34:$A$37, BJ34:BJ37 = MAX(BJ34:BJ37)))</f>
        <v>Cauliflower, Paneer</v>
      </c>
      <c r="BK45" t="str" cm="1">
        <f t="array" ref="BK45">_xlfn.TEXTJOIN(", ", TRUE, _xlfn._xlws.FILTER($A$34:$A$37, BK34:BK37 = MAX(BK34:BK37)))</f>
        <v>Potato, Paneer</v>
      </c>
    </row>
    <row r="46" spans="1:63" x14ac:dyDescent="0.3">
      <c r="A46" s="12" t="s">
        <v>39</v>
      </c>
      <c r="B46" t="str" cm="1">
        <f t="array" ref="B46">_xlfn.TEXTJOIN(", ", TRUE, _xlfn._xlws.FILTER($A$38:$A$41, B38:B41 = MAX(B38:B41)))</f>
        <v>Multigrain</v>
      </c>
      <c r="C46" t="str" cm="1">
        <f t="array" ref="C46">_xlfn.TEXTJOIN(", ", TRUE, _xlfn._xlws.FILTER($A$38:$A$41, C38:C41 = MAX(C38:C41)))</f>
        <v>Brioche, Whole wheat</v>
      </c>
      <c r="D46" t="str" cm="1">
        <f t="array" ref="D46">_xlfn.TEXTJOIN(", ", TRUE, _xlfn._xlws.FILTER($A$38:$A$41, D38:D41 = MAX(D38:D41)))</f>
        <v>Multigrain</v>
      </c>
      <c r="E46" t="e" cm="1">
        <f t="array" ref="E46">_xlfn.TEXTJOIN(", ", TRUE, _xlfn._xlws.FILTER($A$38:$A$41, E38:E41 = MAX(E38:E41)))</f>
        <v>#DIV/0!</v>
      </c>
      <c r="F46" t="e" cm="1">
        <f t="array" ref="F46">_xlfn.TEXTJOIN(", ", TRUE, _xlfn._xlws.FILTER($A$38:$A$41, F38:F41 = MAX(F38:F41)))</f>
        <v>#DIV/0!</v>
      </c>
      <c r="G46" t="str" cm="1">
        <f t="array" ref="G46">_xlfn.TEXTJOIN(", ", TRUE, _xlfn._xlws.FILTER($A$38:$A$41, G38:G41 = MAX(G38:G41)))</f>
        <v>Multigrain, Gluten Free</v>
      </c>
      <c r="H46" t="str" cm="1">
        <f t="array" ref="H46">_xlfn.TEXTJOIN(", ", TRUE, _xlfn._xlws.FILTER($A$38:$A$41, H38:H41 = MAX(H38:H41)))</f>
        <v>Multigrain</v>
      </c>
      <c r="I46" t="str" cm="1">
        <f t="array" ref="I46">_xlfn.TEXTJOIN(", ", TRUE, _xlfn._xlws.FILTER($A$38:$A$41, I38:I41 = MAX(I38:I41)))</f>
        <v>Brioche, Whole wheat</v>
      </c>
      <c r="J46" t="str" cm="1">
        <f t="array" ref="J46">_xlfn.TEXTJOIN(", ", TRUE, _xlfn._xlws.FILTER($A$38:$A$41, J38:J41 = MAX(J38:J41)))</f>
        <v>Multigrain</v>
      </c>
      <c r="K46" t="str" cm="1">
        <f t="array" ref="K46">_xlfn.TEXTJOIN(", ", TRUE, _xlfn._xlws.FILTER($A$38:$A$41, K38:K41 = MAX(K38:K41)))</f>
        <v>Gluten Free, Brioche, Whole wheat</v>
      </c>
      <c r="L46" t="str" cm="1">
        <f t="array" ref="L46">_xlfn.TEXTJOIN(", ", TRUE, _xlfn._xlws.FILTER($A$38:$A$41, L38:L41 = MAX(L38:L41)))</f>
        <v>Gluten Free</v>
      </c>
      <c r="M46" t="str" cm="1">
        <f t="array" ref="M46">_xlfn.TEXTJOIN(", ", TRUE, _xlfn._xlws.FILTER($A$38:$A$41, M38:M41 = MAX(M38:M41)))</f>
        <v>Multigrain, Brioche, Whole wheat</v>
      </c>
      <c r="N46" t="e" cm="1">
        <f t="array" ref="N46">_xlfn.TEXTJOIN(", ", TRUE, _xlfn._xlws.FILTER($A$38:$A$41, N38:N41 = MAX(N38:N41)))</f>
        <v>#DIV/0!</v>
      </c>
      <c r="O46" t="str" cm="1">
        <f t="array" ref="O46">_xlfn.TEXTJOIN(", ", TRUE, _xlfn._xlws.FILTER($A$38:$A$41, O38:O41 = MAX(O38:O41)))</f>
        <v>Multigrain</v>
      </c>
      <c r="P46" t="str" cm="1">
        <f t="array" ref="P46">_xlfn.TEXTJOIN(", ", TRUE, _xlfn._xlws.FILTER($A$38:$A$41, P38:P41 = MAX(P38:P41)))</f>
        <v>Multigrain, Brioche, Whole wheat</v>
      </c>
      <c r="Q46" t="str" cm="1">
        <f t="array" ref="Q46">_xlfn.TEXTJOIN(", ", TRUE, _xlfn._xlws.FILTER($A$38:$A$41, Q38:Q41 = MAX(Q38:Q41)))</f>
        <v>Multigrain</v>
      </c>
      <c r="R46" t="str" cm="1">
        <f t="array" ref="R46">_xlfn.TEXTJOIN(", ", TRUE, _xlfn._xlws.FILTER($A$38:$A$41, R38:R41 = MAX(R38:R41)))</f>
        <v>Gluten Free</v>
      </c>
      <c r="S46" t="str" cm="1">
        <f t="array" ref="S46">_xlfn.TEXTJOIN(", ", TRUE, _xlfn._xlws.FILTER($A$38:$A$41, S38:S41 = MAX(S38:S41)))</f>
        <v>Multigrain</v>
      </c>
      <c r="T46" t="str" cm="1">
        <f t="array" ref="T46">_xlfn.TEXTJOIN(", ", TRUE, _xlfn._xlws.FILTER($A$38:$A$41, T38:T41 = MAX(T38:T41)))</f>
        <v>Brioche, Whole wheat</v>
      </c>
      <c r="U46" t="str" cm="1">
        <f t="array" ref="U46">_xlfn.TEXTJOIN(", ", TRUE, _xlfn._xlws.FILTER($A$38:$A$41, U38:U41 = MAX(U38:U41)))</f>
        <v>Gluten Free</v>
      </c>
      <c r="V46" t="str" cm="1">
        <f t="array" ref="V46">_xlfn.TEXTJOIN(", ", TRUE, _xlfn._xlws.FILTER($A$38:$A$41, V38:V41 = MAX(V38:V41)))</f>
        <v>Brioche, Whole wheat</v>
      </c>
      <c r="W46" t="str" cm="1">
        <f t="array" ref="W46">_xlfn.TEXTJOIN(", ", TRUE, _xlfn._xlws.FILTER($A$38:$A$41, W38:W41 = MAX(W38:W41)))</f>
        <v>Multigrain, Brioche, Whole wheat</v>
      </c>
      <c r="X46" t="str" cm="1">
        <f t="array" ref="X46">_xlfn.TEXTJOIN(", ", TRUE, _xlfn._xlws.FILTER($A$38:$A$41, X38:X41 = MAX(X38:X41)))</f>
        <v>Brioche, Whole wheat</v>
      </c>
      <c r="Y46" t="str" cm="1">
        <f t="array" ref="Y46">_xlfn.TEXTJOIN(", ", TRUE, _xlfn._xlws.FILTER($A$38:$A$41, Y38:Y41 = MAX(Y38:Y41)))</f>
        <v>Multigrain, Brioche, Whole wheat</v>
      </c>
      <c r="Z46" t="str" cm="1">
        <f t="array" ref="Z46">_xlfn.TEXTJOIN(", ", TRUE, _xlfn._xlws.FILTER($A$38:$A$41, Z38:Z41 = MAX(Z38:Z41)))</f>
        <v>Brioche, Whole wheat</v>
      </c>
      <c r="AA46" t="str" cm="1">
        <f t="array" ref="AA46">_xlfn.TEXTJOIN(", ", TRUE, _xlfn._xlws.FILTER($A$38:$A$41, AA38:AA41 = MAX(AA38:AA41)))</f>
        <v>Multigrain</v>
      </c>
      <c r="AB46" t="str" cm="1">
        <f t="array" ref="AB46">_xlfn.TEXTJOIN(", ", TRUE, _xlfn._xlws.FILTER($A$38:$A$41, AB38:AB41 = MAX(AB38:AB41)))</f>
        <v>Multigrain, Gluten Free</v>
      </c>
      <c r="AC46" t="str" cm="1">
        <f t="array" ref="AC46">_xlfn.TEXTJOIN(", ", TRUE, _xlfn._xlws.FILTER($A$38:$A$41, AC38:AC41 = MAX(AC38:AC41)))</f>
        <v>Gluten Free</v>
      </c>
      <c r="AD46" t="e" cm="1">
        <f t="array" ref="AD46">_xlfn.TEXTJOIN(", ", TRUE, _xlfn._xlws.FILTER($A$38:$A$41, AD38:AD41 = MAX(AD38:AD41)))</f>
        <v>#DIV/0!</v>
      </c>
      <c r="AE46" t="str" cm="1">
        <f t="array" ref="AE46">_xlfn.TEXTJOIN(", ", TRUE, _xlfn._xlws.FILTER($A$38:$A$41, AE38:AE41 = MAX(AE38:AE41)))</f>
        <v>Multigrain</v>
      </c>
      <c r="AF46" t="str" cm="1">
        <f t="array" ref="AF46">_xlfn.TEXTJOIN(", ", TRUE, _xlfn._xlws.FILTER($A$38:$A$41, AF38:AF41 = MAX(AF38:AF41)))</f>
        <v>Gluten Free</v>
      </c>
      <c r="AG46" t="str" cm="1">
        <f t="array" ref="AG46">_xlfn.TEXTJOIN(", ", TRUE, _xlfn._xlws.FILTER($A$38:$A$41, AG38:AG41 = MAX(AG38:AG41)))</f>
        <v>Brioche, Whole wheat</v>
      </c>
      <c r="AH46" t="str" cm="1">
        <f t="array" ref="AH46">_xlfn.TEXTJOIN(", ", TRUE, _xlfn._xlws.FILTER($A$38:$A$41, AH38:AH41 = MAX(AH38:AH41)))</f>
        <v>Brioche, Whole wheat</v>
      </c>
      <c r="AI46" t="str" cm="1">
        <f t="array" ref="AI46">_xlfn.TEXTJOIN(", ", TRUE, _xlfn._xlws.FILTER($A$38:$A$41, AI38:AI41 = MAX(AI38:AI41)))</f>
        <v>Gluten Free</v>
      </c>
      <c r="AJ46" t="str" cm="1">
        <f t="array" ref="AJ46">_xlfn.TEXTJOIN(", ", TRUE, _xlfn._xlws.FILTER($A$38:$A$41, AJ38:AJ41 = MAX(AJ38:AJ41)))</f>
        <v>Multigrain</v>
      </c>
      <c r="AK46" t="str" cm="1">
        <f t="array" ref="AK46">_xlfn.TEXTJOIN(", ", TRUE, _xlfn._xlws.FILTER($A$38:$A$41, AK38:AK41 = MAX(AK38:AK41)))</f>
        <v>Gluten Free</v>
      </c>
      <c r="AL46" t="str" cm="1">
        <f t="array" ref="AL46">_xlfn.TEXTJOIN(", ", TRUE, _xlfn._xlws.FILTER($A$38:$A$41, AL38:AL41 = MAX(AL38:AL41)))</f>
        <v>Gluten Free, Brioche, Whole wheat</v>
      </c>
      <c r="AM46" t="str" cm="1">
        <f t="array" ref="AM46">_xlfn.TEXTJOIN(", ", TRUE, _xlfn._xlws.FILTER($A$38:$A$41, AM38:AM41 = MAX(AM38:AM41)))</f>
        <v>Gluten Free</v>
      </c>
      <c r="AN46" t="str" cm="1">
        <f t="array" ref="AN46">_xlfn.TEXTJOIN(", ", TRUE, _xlfn._xlws.FILTER($A$38:$A$41, AN38:AN41 = MAX(AN38:AN41)))</f>
        <v>Brioche, Whole wheat</v>
      </c>
      <c r="AO46" t="str" cm="1">
        <f t="array" ref="AO46">_xlfn.TEXTJOIN(", ", TRUE, _xlfn._xlws.FILTER($A$38:$A$41, AO38:AO41 = MAX(AO38:AO41)))</f>
        <v>Gluten Free</v>
      </c>
      <c r="AP46" t="str" cm="1">
        <f t="array" ref="AP46">_xlfn.TEXTJOIN(", ", TRUE, _xlfn._xlws.FILTER($A$38:$A$41, AP38:AP41 = MAX(AP38:AP41)))</f>
        <v>Brioche, Whole wheat</v>
      </c>
      <c r="AQ46" t="str" cm="1">
        <f t="array" ref="AQ46">_xlfn.TEXTJOIN(", ", TRUE, _xlfn._xlws.FILTER($A$38:$A$41, AQ38:AQ41 = MAX(AQ38:AQ41)))</f>
        <v>Gluten Free</v>
      </c>
      <c r="AR46" t="str" cm="1">
        <f t="array" ref="AR46">_xlfn.TEXTJOIN(", ", TRUE, _xlfn._xlws.FILTER($A$38:$A$41, AR38:AR41 = MAX(AR38:AR41)))</f>
        <v>Multigrain</v>
      </c>
      <c r="AS46" t="str" cm="1">
        <f t="array" ref="AS46">_xlfn.TEXTJOIN(", ", TRUE, _xlfn._xlws.FILTER($A$38:$A$41, AS38:AS41 = MAX(AS38:AS41)))</f>
        <v>Multigrain</v>
      </c>
      <c r="AT46" t="e" cm="1">
        <f t="array" ref="AT46">_xlfn.TEXTJOIN(", ", TRUE, _xlfn._xlws.FILTER($A$38:$A$41, AT38:AT41 = MAX(AT38:AT41)))</f>
        <v>#DIV/0!</v>
      </c>
      <c r="AU46" t="str" cm="1">
        <f t="array" ref="AU46">_xlfn.TEXTJOIN(", ", TRUE, _xlfn._xlws.FILTER($A$38:$A$41, AU38:AU41 = MAX(AU38:AU41)))</f>
        <v>Brioche, Whole wheat</v>
      </c>
      <c r="AV46" t="str" cm="1">
        <f t="array" ref="AV46">_xlfn.TEXTJOIN(", ", TRUE, _xlfn._xlws.FILTER($A$38:$A$41, AV38:AV41 = MAX(AV38:AV41)))</f>
        <v>Gluten Free</v>
      </c>
      <c r="AW46" t="str" cm="1">
        <f t="array" ref="AW46">_xlfn.TEXTJOIN(", ", TRUE, _xlfn._xlws.FILTER($A$38:$A$41, AW38:AW41 = MAX(AW38:AW41)))</f>
        <v>Multigrain</v>
      </c>
      <c r="AX46" t="str" cm="1">
        <f t="array" ref="AX46">_xlfn.TEXTJOIN(", ", TRUE, _xlfn._xlws.FILTER($A$38:$A$41, AX38:AX41 = MAX(AX38:AX41)))</f>
        <v>Gluten Free</v>
      </c>
      <c r="AY46" t="str" cm="1">
        <f t="array" ref="AY46">_xlfn.TEXTJOIN(", ", TRUE, _xlfn._xlws.FILTER($A$38:$A$41, AY38:AY41 = MAX(AY38:AY41)))</f>
        <v>Gluten Free</v>
      </c>
      <c r="AZ46" t="str" cm="1">
        <f t="array" ref="AZ46">_xlfn.TEXTJOIN(", ", TRUE, _xlfn._xlws.FILTER($A$38:$A$41, AZ38:AZ41 = MAX(AZ38:AZ41)))</f>
        <v>Brioche, Whole wheat</v>
      </c>
      <c r="BA46" t="str" cm="1">
        <f t="array" ref="BA46">_xlfn.TEXTJOIN(", ", TRUE, _xlfn._xlws.FILTER($A$38:$A$41, BA38:BA41 = MAX(BA38:BA41)))</f>
        <v>Multigrain</v>
      </c>
      <c r="BB46" t="str" cm="1">
        <f t="array" ref="BB46">_xlfn.TEXTJOIN(", ", TRUE, _xlfn._xlws.FILTER($A$38:$A$41, BB38:BB41 = MAX(BB38:BB41)))</f>
        <v>Multigrain</v>
      </c>
      <c r="BC46" t="str" cm="1">
        <f t="array" ref="BC46">_xlfn.TEXTJOIN(", ", TRUE, _xlfn._xlws.FILTER($A$38:$A$41, BC38:BC41 = MAX(BC38:BC41)))</f>
        <v>Gluten Free</v>
      </c>
      <c r="BD46" t="str" cm="1">
        <f t="array" ref="BD46">_xlfn.TEXTJOIN(", ", TRUE, _xlfn._xlws.FILTER($A$38:$A$41, BD38:BD41 = MAX(BD38:BD41)))</f>
        <v>Gluten Free</v>
      </c>
      <c r="BE46" t="str" cm="1">
        <f t="array" ref="BE46">_xlfn.TEXTJOIN(", ", TRUE, _xlfn._xlws.FILTER($A$38:$A$41, BE38:BE41 = MAX(BE38:BE41)))</f>
        <v>Multigrain</v>
      </c>
      <c r="BF46" t="str" cm="1">
        <f t="array" ref="BF46">_xlfn.TEXTJOIN(", ", TRUE, _xlfn._xlws.FILTER($A$38:$A$41, BF38:BF41 = MAX(BF38:BF41)))</f>
        <v>Brioche, Whole wheat</v>
      </c>
      <c r="BG46" t="str" cm="1">
        <f t="array" ref="BG46">_xlfn.TEXTJOIN(", ", TRUE, _xlfn._xlws.FILTER($A$38:$A$41, BG38:BG41 = MAX(BG38:BG41)))</f>
        <v>Multigrain</v>
      </c>
      <c r="BH46" t="str" cm="1">
        <f t="array" ref="BH46">_xlfn.TEXTJOIN(", ", TRUE, _xlfn._xlws.FILTER($A$38:$A$41, BH38:BH41 = MAX(BH38:BH41)))</f>
        <v>Brioche, Whole wheat</v>
      </c>
      <c r="BI46" t="str" cm="1">
        <f t="array" ref="BI46">_xlfn.TEXTJOIN(", ", TRUE, _xlfn._xlws.FILTER($A$38:$A$41, BI38:BI41 = MAX(BI38:BI41)))</f>
        <v>Gluten Free</v>
      </c>
      <c r="BJ46" t="str" cm="1">
        <f t="array" ref="BJ46">_xlfn.TEXTJOIN(", ", TRUE, _xlfn._xlws.FILTER($A$38:$A$41, BJ38:BJ41 = MAX(BJ38:BJ41)))</f>
        <v>Multigrain</v>
      </c>
      <c r="BK46" t="str" cm="1">
        <f t="array" ref="BK46">_xlfn.TEXTJOIN(", ", TRUE, _xlfn._xlws.FILTER($A$38:$A$41, BK38:BK41 = MAX(BK38:BK41)))</f>
        <v>Multigrain</v>
      </c>
    </row>
    <row r="47" spans="1:63" x14ac:dyDescent="0.3">
      <c r="E47" s="16"/>
      <c r="F47" s="16"/>
      <c r="N47" s="15"/>
      <c r="AD47" s="16"/>
      <c r="AT47" s="16"/>
    </row>
    <row r="48" spans="1:63" x14ac:dyDescent="0.3">
      <c r="A48" t="s">
        <v>67</v>
      </c>
      <c r="B48">
        <f t="shared" ref="B48:AG48" si="16">MAX(B34:B37)</f>
        <v>1.4166666666666656</v>
      </c>
      <c r="C48">
        <f t="shared" si="16"/>
        <v>2.2727272727272729</v>
      </c>
      <c r="D48">
        <f t="shared" si="16"/>
        <v>6.9999999999999991</v>
      </c>
      <c r="E48" t="e">
        <f t="shared" si="16"/>
        <v>#DIV/0!</v>
      </c>
      <c r="F48" t="e">
        <f t="shared" si="16"/>
        <v>#DIV/0!</v>
      </c>
      <c r="G48">
        <f t="shared" si="16"/>
        <v>2.4999999999999982</v>
      </c>
      <c r="H48">
        <f t="shared" si="16"/>
        <v>1.4999999999999996</v>
      </c>
      <c r="I48">
        <f t="shared" si="16"/>
        <v>1.4999999999999993</v>
      </c>
      <c r="J48">
        <f t="shared" si="16"/>
        <v>3.0227272727272738</v>
      </c>
      <c r="K48">
        <f t="shared" si="16"/>
        <v>0.66666666666666663</v>
      </c>
      <c r="L48">
        <f t="shared" si="16"/>
        <v>0.50000000000000011</v>
      </c>
      <c r="M48">
        <f t="shared" si="16"/>
        <v>17.250000000000011</v>
      </c>
      <c r="N48" t="e">
        <f t="shared" si="16"/>
        <v>#DIV/0!</v>
      </c>
      <c r="O48">
        <f t="shared" si="16"/>
        <v>3.0000000000000027</v>
      </c>
      <c r="P48">
        <f t="shared" si="16"/>
        <v>2.25</v>
      </c>
      <c r="Q48">
        <f t="shared" si="16"/>
        <v>4.0000000000000009</v>
      </c>
      <c r="R48">
        <f t="shared" si="16"/>
        <v>2.1785714285714293</v>
      </c>
      <c r="S48">
        <f t="shared" si="16"/>
        <v>2.2500000000000004</v>
      </c>
      <c r="T48">
        <f t="shared" si="16"/>
        <v>1.833333333333333</v>
      </c>
      <c r="U48">
        <f t="shared" si="16"/>
        <v>1.352941176470587</v>
      </c>
      <c r="V48">
        <f t="shared" si="16"/>
        <v>2.5999999999999992</v>
      </c>
      <c r="W48">
        <f t="shared" si="16"/>
        <v>1.2500000000000002</v>
      </c>
      <c r="X48">
        <f t="shared" si="16"/>
        <v>2.75</v>
      </c>
      <c r="Y48">
        <f t="shared" si="16"/>
        <v>1.2499999999999993</v>
      </c>
      <c r="Z48">
        <f t="shared" si="16"/>
        <v>5.9999999999999982</v>
      </c>
      <c r="AA48">
        <f t="shared" si="16"/>
        <v>2.8409090909090913</v>
      </c>
      <c r="AB48">
        <f t="shared" si="16"/>
        <v>0.99999999999999967</v>
      </c>
      <c r="AC48">
        <f t="shared" si="16"/>
        <v>1.5000000000000007</v>
      </c>
      <c r="AD48" t="e">
        <f t="shared" si="16"/>
        <v>#DIV/0!</v>
      </c>
      <c r="AE48">
        <f t="shared" si="16"/>
        <v>2.0357142857142856</v>
      </c>
      <c r="AF48">
        <f t="shared" si="16"/>
        <v>2.7311766527897717E-16</v>
      </c>
      <c r="AG48">
        <f t="shared" si="16"/>
        <v>1.4999999999999998</v>
      </c>
      <c r="AH48">
        <f t="shared" ref="AH48:BK48" si="17">MAX(AH34:AH37)</f>
        <v>2.4999999999999996</v>
      </c>
      <c r="AI48">
        <f t="shared" si="17"/>
        <v>0.74999999999999989</v>
      </c>
      <c r="AJ48">
        <f t="shared" si="17"/>
        <v>1.8333333333333335</v>
      </c>
      <c r="AK48">
        <f t="shared" si="17"/>
        <v>5.25</v>
      </c>
      <c r="AL48">
        <f t="shared" si="17"/>
        <v>4.3263858607696052E-16</v>
      </c>
      <c r="AM48">
        <f t="shared" si="17"/>
        <v>0.99999999999999989</v>
      </c>
      <c r="AN48">
        <f t="shared" si="17"/>
        <v>1.5</v>
      </c>
      <c r="AO48">
        <f t="shared" si="17"/>
        <v>0.3055555555555568</v>
      </c>
      <c r="AP48">
        <f t="shared" si="17"/>
        <v>3.3965517241379288</v>
      </c>
      <c r="AQ48">
        <f t="shared" si="17"/>
        <v>2.4999999999999991</v>
      </c>
      <c r="AR48">
        <f t="shared" si="17"/>
        <v>4.4999999999999982</v>
      </c>
      <c r="AS48">
        <f t="shared" si="17"/>
        <v>0.89999999999999947</v>
      </c>
      <c r="AT48" t="e">
        <f t="shared" si="17"/>
        <v>#DIV/0!</v>
      </c>
      <c r="AU48">
        <f t="shared" si="17"/>
        <v>4.9999999999999973</v>
      </c>
      <c r="AV48">
        <f t="shared" si="17"/>
        <v>0.65000000000000036</v>
      </c>
      <c r="AW48">
        <f t="shared" si="17"/>
        <v>2.4999999999999978</v>
      </c>
      <c r="AX48">
        <f t="shared" si="17"/>
        <v>2.5</v>
      </c>
      <c r="AY48">
        <f t="shared" si="17"/>
        <v>1.3333333333333328</v>
      </c>
      <c r="AZ48">
        <f t="shared" si="17"/>
        <v>3.5000000000000049</v>
      </c>
      <c r="BA48">
        <f t="shared" si="17"/>
        <v>2.6</v>
      </c>
      <c r="BB48">
        <f t="shared" si="17"/>
        <v>1.45</v>
      </c>
      <c r="BC48">
        <f t="shared" si="17"/>
        <v>2.6923076923076912</v>
      </c>
      <c r="BD48">
        <f t="shared" si="17"/>
        <v>1.5000000000000004</v>
      </c>
      <c r="BE48">
        <f t="shared" si="17"/>
        <v>2.7500000000000004</v>
      </c>
      <c r="BF48">
        <f t="shared" si="17"/>
        <v>0.90909090909090895</v>
      </c>
      <c r="BG48">
        <f t="shared" si="17"/>
        <v>1.6590909090909074</v>
      </c>
      <c r="BH48">
        <f t="shared" si="17"/>
        <v>3.8333333333333321</v>
      </c>
      <c r="BI48">
        <f t="shared" si="17"/>
        <v>4.375</v>
      </c>
      <c r="BJ48">
        <f t="shared" si="17"/>
        <v>2.5000000000000004</v>
      </c>
      <c r="BK48">
        <f t="shared" si="17"/>
        <v>2.0000000000000004</v>
      </c>
    </row>
    <row r="49" spans="1:63" x14ac:dyDescent="0.3">
      <c r="A49" t="s">
        <v>69</v>
      </c>
      <c r="B49">
        <f t="shared" ref="B49:AG49" si="18">COUNTIF(B34:B37,B48)</f>
        <v>2</v>
      </c>
      <c r="C49">
        <f t="shared" si="18"/>
        <v>1</v>
      </c>
      <c r="D49">
        <f t="shared" si="18"/>
        <v>1</v>
      </c>
      <c r="E49">
        <f t="shared" si="18"/>
        <v>4</v>
      </c>
      <c r="F49">
        <f t="shared" si="18"/>
        <v>4</v>
      </c>
      <c r="G49">
        <f t="shared" si="18"/>
        <v>1</v>
      </c>
      <c r="H49">
        <f t="shared" si="18"/>
        <v>2</v>
      </c>
      <c r="I49">
        <f t="shared" si="18"/>
        <v>1</v>
      </c>
      <c r="J49">
        <f t="shared" si="18"/>
        <v>1</v>
      </c>
      <c r="K49">
        <f t="shared" si="18"/>
        <v>1</v>
      </c>
      <c r="L49">
        <f t="shared" si="18"/>
        <v>2</v>
      </c>
      <c r="M49">
        <f t="shared" si="18"/>
        <v>1</v>
      </c>
      <c r="N49">
        <f t="shared" si="18"/>
        <v>4</v>
      </c>
      <c r="O49">
        <f t="shared" si="18"/>
        <v>2</v>
      </c>
      <c r="P49">
        <f t="shared" si="18"/>
        <v>1</v>
      </c>
      <c r="Q49">
        <f t="shared" si="18"/>
        <v>2</v>
      </c>
      <c r="R49">
        <f t="shared" si="18"/>
        <v>1</v>
      </c>
      <c r="S49">
        <f t="shared" si="18"/>
        <v>1</v>
      </c>
      <c r="T49">
        <f t="shared" si="18"/>
        <v>1</v>
      </c>
      <c r="U49">
        <f t="shared" si="18"/>
        <v>1</v>
      </c>
      <c r="V49">
        <f t="shared" si="18"/>
        <v>1</v>
      </c>
      <c r="W49">
        <f t="shared" si="18"/>
        <v>1</v>
      </c>
      <c r="X49">
        <f t="shared" si="18"/>
        <v>1</v>
      </c>
      <c r="Y49">
        <f t="shared" si="18"/>
        <v>1</v>
      </c>
      <c r="Z49">
        <f t="shared" si="18"/>
        <v>1</v>
      </c>
      <c r="AA49">
        <f t="shared" si="18"/>
        <v>1</v>
      </c>
      <c r="AB49">
        <f t="shared" si="18"/>
        <v>2</v>
      </c>
      <c r="AC49">
        <f t="shared" si="18"/>
        <v>1</v>
      </c>
      <c r="AD49">
        <f t="shared" si="18"/>
        <v>4</v>
      </c>
      <c r="AE49">
        <f t="shared" si="18"/>
        <v>1</v>
      </c>
      <c r="AF49">
        <f t="shared" si="18"/>
        <v>1</v>
      </c>
      <c r="AG49">
        <f t="shared" si="18"/>
        <v>1</v>
      </c>
      <c r="AH49">
        <f t="shared" ref="AH49:BK49" si="19">COUNTIF(AH34:AH37,AH48)</f>
        <v>1</v>
      </c>
      <c r="AI49">
        <f t="shared" si="19"/>
        <v>1</v>
      </c>
      <c r="AJ49">
        <f t="shared" si="19"/>
        <v>1</v>
      </c>
      <c r="AK49">
        <f t="shared" si="19"/>
        <v>1</v>
      </c>
      <c r="AL49">
        <f t="shared" si="19"/>
        <v>1</v>
      </c>
      <c r="AM49">
        <f t="shared" si="19"/>
        <v>1</v>
      </c>
      <c r="AN49">
        <f t="shared" si="19"/>
        <v>1</v>
      </c>
      <c r="AO49">
        <f t="shared" si="19"/>
        <v>1</v>
      </c>
      <c r="AP49">
        <f t="shared" si="19"/>
        <v>1</v>
      </c>
      <c r="AQ49">
        <f t="shared" si="19"/>
        <v>2</v>
      </c>
      <c r="AR49">
        <f t="shared" si="19"/>
        <v>1</v>
      </c>
      <c r="AS49">
        <f t="shared" si="19"/>
        <v>1</v>
      </c>
      <c r="AT49">
        <f t="shared" si="19"/>
        <v>4</v>
      </c>
      <c r="AU49">
        <f t="shared" si="19"/>
        <v>1</v>
      </c>
      <c r="AV49">
        <f t="shared" si="19"/>
        <v>1</v>
      </c>
      <c r="AW49">
        <f t="shared" si="19"/>
        <v>2</v>
      </c>
      <c r="AX49">
        <f t="shared" si="19"/>
        <v>1</v>
      </c>
      <c r="AY49">
        <f t="shared" si="19"/>
        <v>1</v>
      </c>
      <c r="AZ49">
        <f t="shared" si="19"/>
        <v>1</v>
      </c>
      <c r="BA49">
        <f t="shared" si="19"/>
        <v>1</v>
      </c>
      <c r="BB49">
        <f t="shared" si="19"/>
        <v>1</v>
      </c>
      <c r="BC49">
        <f t="shared" si="19"/>
        <v>1</v>
      </c>
      <c r="BD49">
        <f t="shared" si="19"/>
        <v>1</v>
      </c>
      <c r="BE49">
        <f t="shared" si="19"/>
        <v>1</v>
      </c>
      <c r="BF49">
        <f t="shared" si="19"/>
        <v>2</v>
      </c>
      <c r="BG49">
        <f t="shared" si="19"/>
        <v>1</v>
      </c>
      <c r="BH49">
        <f t="shared" si="19"/>
        <v>1</v>
      </c>
      <c r="BI49">
        <f t="shared" si="19"/>
        <v>1</v>
      </c>
      <c r="BJ49">
        <f t="shared" si="19"/>
        <v>2</v>
      </c>
      <c r="BK49">
        <f t="shared" si="19"/>
        <v>2</v>
      </c>
    </row>
    <row r="51" spans="1:63" x14ac:dyDescent="0.3">
      <c r="A51" t="s">
        <v>68</v>
      </c>
      <c r="B51">
        <f t="shared" ref="B51:AG51" si="20">MAX(B38:B41)</f>
        <v>1.8333333333333326</v>
      </c>
      <c r="C51">
        <f t="shared" si="20"/>
        <v>0.72727272727272785</v>
      </c>
      <c r="D51">
        <f t="shared" si="20"/>
        <v>1.5714285714285716</v>
      </c>
      <c r="E51" t="e">
        <f t="shared" si="20"/>
        <v>#DIV/0!</v>
      </c>
      <c r="F51" t="e">
        <f t="shared" si="20"/>
        <v>#DIV/0!</v>
      </c>
      <c r="G51">
        <f t="shared" si="20"/>
        <v>1.0000000000000004</v>
      </c>
      <c r="H51">
        <f t="shared" si="20"/>
        <v>2.6521370819096691E-16</v>
      </c>
      <c r="I51">
        <f t="shared" si="20"/>
        <v>3.0476810155013023E-16</v>
      </c>
      <c r="J51">
        <f t="shared" si="20"/>
        <v>0.18181818181818371</v>
      </c>
      <c r="K51">
        <f t="shared" si="20"/>
        <v>1.333333333333333</v>
      </c>
      <c r="L51">
        <f t="shared" si="20"/>
        <v>1.9876180535878052E-16</v>
      </c>
      <c r="M51">
        <f t="shared" si="20"/>
        <v>1.9999999999999976</v>
      </c>
      <c r="N51" t="e">
        <f t="shared" si="20"/>
        <v>#DIV/0!</v>
      </c>
      <c r="O51">
        <f t="shared" si="20"/>
        <v>2.7051798235478628E-15</v>
      </c>
      <c r="P51">
        <f t="shared" si="20"/>
        <v>0.22222222222222221</v>
      </c>
      <c r="Q51">
        <f t="shared" si="20"/>
        <v>1.2265688576478885E-15</v>
      </c>
      <c r="R51">
        <f t="shared" si="20"/>
        <v>1.6428571428571415</v>
      </c>
      <c r="S51">
        <f t="shared" si="20"/>
        <v>0.66666666666666685</v>
      </c>
      <c r="T51">
        <f t="shared" si="20"/>
        <v>0.33333333333333348</v>
      </c>
      <c r="U51">
        <f t="shared" si="20"/>
        <v>1.235294117647058</v>
      </c>
      <c r="V51">
        <f t="shared" si="20"/>
        <v>0.60000000000000009</v>
      </c>
      <c r="W51">
        <f t="shared" si="20"/>
        <v>0.40000000000000013</v>
      </c>
      <c r="X51">
        <f t="shared" si="20"/>
        <v>0.24999999999999956</v>
      </c>
      <c r="Y51">
        <f t="shared" si="20"/>
        <v>0.4000000000000003</v>
      </c>
      <c r="Z51">
        <f t="shared" si="20"/>
        <v>1.391332637511464E-16</v>
      </c>
      <c r="AA51">
        <f t="shared" si="20"/>
        <v>1.227272727272728</v>
      </c>
      <c r="AB51">
        <f t="shared" si="20"/>
        <v>0.5</v>
      </c>
      <c r="AC51">
        <f t="shared" si="20"/>
        <v>1.9999999999999998</v>
      </c>
      <c r="AD51" t="e">
        <f t="shared" si="20"/>
        <v>#DIV/0!</v>
      </c>
      <c r="AE51">
        <f t="shared" si="20"/>
        <v>1.0714285714285716</v>
      </c>
      <c r="AF51">
        <f t="shared" si="20"/>
        <v>2.2528317617787721E-16</v>
      </c>
      <c r="AG51">
        <f t="shared" si="20"/>
        <v>0.66666666666666674</v>
      </c>
      <c r="AH51">
        <f t="shared" ref="AH51:BK51" si="21">MAX(AH38:AH41)</f>
        <v>0.60000000000000009</v>
      </c>
      <c r="AI51">
        <f t="shared" si="21"/>
        <v>0.49999999999999983</v>
      </c>
      <c r="AJ51">
        <f t="shared" si="21"/>
        <v>0.50000000000000067</v>
      </c>
      <c r="AK51">
        <f t="shared" si="21"/>
        <v>0.49999999999999895</v>
      </c>
      <c r="AL51">
        <f t="shared" si="21"/>
        <v>3.4842953127240568E-16</v>
      </c>
      <c r="AM51">
        <f t="shared" si="21"/>
        <v>7.9504722143512202E-17</v>
      </c>
      <c r="AN51">
        <f t="shared" si="21"/>
        <v>0.33333333333333337</v>
      </c>
      <c r="AO51">
        <f t="shared" si="21"/>
        <v>4.4999999999999956</v>
      </c>
      <c r="AP51">
        <f t="shared" si="21"/>
        <v>0.68965517241379315</v>
      </c>
      <c r="AQ51">
        <f t="shared" si="21"/>
        <v>1.4999999999999989</v>
      </c>
      <c r="AR51">
        <f t="shared" si="21"/>
        <v>3.222222222222221</v>
      </c>
      <c r="AS51">
        <f t="shared" si="21"/>
        <v>0.49999999999999906</v>
      </c>
      <c r="AT51" t="e">
        <f t="shared" si="21"/>
        <v>#DIV/0!</v>
      </c>
      <c r="AU51">
        <f t="shared" si="21"/>
        <v>0.10000000000000014</v>
      </c>
      <c r="AV51">
        <f t="shared" si="21"/>
        <v>0.49999999999999994</v>
      </c>
      <c r="AW51">
        <f t="shared" si="21"/>
        <v>1.5</v>
      </c>
      <c r="AX51">
        <f t="shared" si="21"/>
        <v>0.99999999999999956</v>
      </c>
      <c r="AY51">
        <f t="shared" si="21"/>
        <v>1.0000000000000004</v>
      </c>
      <c r="AZ51">
        <f t="shared" si="21"/>
        <v>4</v>
      </c>
      <c r="BA51">
        <f t="shared" si="21"/>
        <v>1.9000000000000001</v>
      </c>
      <c r="BB51">
        <f t="shared" si="21"/>
        <v>1.0000000000000004</v>
      </c>
      <c r="BC51">
        <f t="shared" si="21"/>
        <v>0.50000000000000044</v>
      </c>
      <c r="BD51">
        <f t="shared" si="21"/>
        <v>1.5000000000000007</v>
      </c>
      <c r="BE51">
        <f t="shared" si="21"/>
        <v>0.50000000000000078</v>
      </c>
      <c r="BF51">
        <f t="shared" si="21"/>
        <v>0.72727272727272718</v>
      </c>
      <c r="BG51">
        <f t="shared" si="21"/>
        <v>0.49999999999999928</v>
      </c>
      <c r="BH51">
        <f t="shared" si="21"/>
        <v>0.66666666666666696</v>
      </c>
      <c r="BI51">
        <f t="shared" si="21"/>
        <v>0.62499999999999734</v>
      </c>
      <c r="BJ51">
        <f t="shared" si="21"/>
        <v>0.99999999999999978</v>
      </c>
      <c r="BK51">
        <f t="shared" si="21"/>
        <v>3.0478789832138939E-16</v>
      </c>
    </row>
    <row r="52" spans="1:63" x14ac:dyDescent="0.3">
      <c r="A52" t="s">
        <v>69</v>
      </c>
      <c r="B52">
        <f t="shared" ref="B52:AG52" si="22">COUNTIF(B38:B41,B51)</f>
        <v>1</v>
      </c>
      <c r="C52">
        <f t="shared" si="22"/>
        <v>2</v>
      </c>
      <c r="D52">
        <f t="shared" si="22"/>
        <v>1</v>
      </c>
      <c r="E52">
        <f t="shared" si="22"/>
        <v>4</v>
      </c>
      <c r="F52">
        <f t="shared" si="22"/>
        <v>4</v>
      </c>
      <c r="G52">
        <f t="shared" si="22"/>
        <v>2</v>
      </c>
      <c r="H52">
        <f t="shared" si="22"/>
        <v>1</v>
      </c>
      <c r="I52">
        <f t="shared" si="22"/>
        <v>2</v>
      </c>
      <c r="J52">
        <f t="shared" si="22"/>
        <v>1</v>
      </c>
      <c r="K52">
        <f t="shared" si="22"/>
        <v>3</v>
      </c>
      <c r="L52">
        <f t="shared" si="22"/>
        <v>1</v>
      </c>
      <c r="M52">
        <f t="shared" si="22"/>
        <v>3</v>
      </c>
      <c r="N52">
        <f t="shared" si="22"/>
        <v>4</v>
      </c>
      <c r="O52">
        <f t="shared" si="22"/>
        <v>1</v>
      </c>
      <c r="P52">
        <f t="shared" si="22"/>
        <v>3</v>
      </c>
      <c r="Q52">
        <f t="shared" si="22"/>
        <v>1</v>
      </c>
      <c r="R52">
        <f t="shared" si="22"/>
        <v>1</v>
      </c>
      <c r="S52">
        <f t="shared" si="22"/>
        <v>1</v>
      </c>
      <c r="T52">
        <f t="shared" si="22"/>
        <v>2</v>
      </c>
      <c r="U52">
        <f t="shared" si="22"/>
        <v>1</v>
      </c>
      <c r="V52">
        <f t="shared" si="22"/>
        <v>2</v>
      </c>
      <c r="W52">
        <f t="shared" si="22"/>
        <v>3</v>
      </c>
      <c r="X52">
        <f t="shared" si="22"/>
        <v>2</v>
      </c>
      <c r="Y52">
        <f t="shared" si="22"/>
        <v>3</v>
      </c>
      <c r="Z52">
        <f t="shared" si="22"/>
        <v>2</v>
      </c>
      <c r="AA52">
        <f t="shared" si="22"/>
        <v>1</v>
      </c>
      <c r="AB52">
        <f t="shared" si="22"/>
        <v>2</v>
      </c>
      <c r="AC52">
        <f t="shared" si="22"/>
        <v>1</v>
      </c>
      <c r="AD52">
        <f t="shared" si="22"/>
        <v>4</v>
      </c>
      <c r="AE52">
        <f t="shared" si="22"/>
        <v>1</v>
      </c>
      <c r="AF52">
        <f t="shared" si="22"/>
        <v>1</v>
      </c>
      <c r="AG52">
        <f t="shared" si="22"/>
        <v>2</v>
      </c>
      <c r="AH52">
        <f t="shared" ref="AH52:BK52" si="23">COUNTIF(AH38:AH41,AH51)</f>
        <v>2</v>
      </c>
      <c r="AI52">
        <f t="shared" si="23"/>
        <v>1</v>
      </c>
      <c r="AJ52">
        <f t="shared" si="23"/>
        <v>1</v>
      </c>
      <c r="AK52">
        <f t="shared" si="23"/>
        <v>1</v>
      </c>
      <c r="AL52">
        <f t="shared" si="23"/>
        <v>3</v>
      </c>
      <c r="AM52">
        <f t="shared" si="23"/>
        <v>1</v>
      </c>
      <c r="AN52">
        <f t="shared" si="23"/>
        <v>2</v>
      </c>
      <c r="AO52">
        <f t="shared" si="23"/>
        <v>1</v>
      </c>
      <c r="AP52">
        <f t="shared" si="23"/>
        <v>2</v>
      </c>
      <c r="AQ52">
        <f t="shared" si="23"/>
        <v>1</v>
      </c>
      <c r="AR52">
        <f t="shared" si="23"/>
        <v>1</v>
      </c>
      <c r="AS52">
        <f t="shared" si="23"/>
        <v>1</v>
      </c>
      <c r="AT52">
        <f t="shared" si="23"/>
        <v>4</v>
      </c>
      <c r="AU52">
        <f t="shared" si="23"/>
        <v>2</v>
      </c>
      <c r="AV52">
        <f t="shared" si="23"/>
        <v>1</v>
      </c>
      <c r="AW52">
        <f t="shared" si="23"/>
        <v>1</v>
      </c>
      <c r="AX52">
        <f t="shared" si="23"/>
        <v>1</v>
      </c>
      <c r="AY52">
        <f t="shared" si="23"/>
        <v>1</v>
      </c>
      <c r="AZ52">
        <f t="shared" si="23"/>
        <v>2</v>
      </c>
      <c r="BA52">
        <f t="shared" si="23"/>
        <v>1</v>
      </c>
      <c r="BB52">
        <f t="shared" si="23"/>
        <v>1</v>
      </c>
      <c r="BC52">
        <f t="shared" si="23"/>
        <v>1</v>
      </c>
      <c r="BD52">
        <f t="shared" si="23"/>
        <v>1</v>
      </c>
      <c r="BE52">
        <f t="shared" si="23"/>
        <v>1</v>
      </c>
      <c r="BF52">
        <f t="shared" si="23"/>
        <v>2</v>
      </c>
      <c r="BG52">
        <f t="shared" si="23"/>
        <v>1</v>
      </c>
      <c r="BH52">
        <f t="shared" si="23"/>
        <v>2</v>
      </c>
      <c r="BI52">
        <f t="shared" si="23"/>
        <v>1</v>
      </c>
      <c r="BJ52">
        <f t="shared" si="23"/>
        <v>1</v>
      </c>
      <c r="BK52">
        <f t="shared" si="23"/>
        <v>1</v>
      </c>
    </row>
    <row r="56" spans="1:63" x14ac:dyDescent="0.3">
      <c r="K56" s="18" t="s">
        <v>56</v>
      </c>
    </row>
    <row r="58" spans="1:63" x14ac:dyDescent="0.3">
      <c r="A58" t="s">
        <v>44</v>
      </c>
      <c r="B58">
        <f t="shared" ref="B58:AG58" si="24">MAX(B30:B31)-MIN(B30:B31)</f>
        <v>1.1250000000000007</v>
      </c>
      <c r="C58">
        <f t="shared" si="24"/>
        <v>0.17045454545454553</v>
      </c>
      <c r="D58">
        <f t="shared" si="24"/>
        <v>3.7500000000000027</v>
      </c>
      <c r="E58" s="15" t="e">
        <f t="shared" si="24"/>
        <v>#DIV/0!</v>
      </c>
      <c r="F58" s="15" t="e">
        <f t="shared" si="24"/>
        <v>#DIV/0!</v>
      </c>
      <c r="G58">
        <f t="shared" si="24"/>
        <v>1.2500000000000004</v>
      </c>
      <c r="H58">
        <f t="shared" si="24"/>
        <v>0.99999999999999956</v>
      </c>
      <c r="I58">
        <f t="shared" si="24"/>
        <v>8.3333333333333065E-2</v>
      </c>
      <c r="J58">
        <f t="shared" si="24"/>
        <v>3.6250000000000049</v>
      </c>
      <c r="K58">
        <f t="shared" si="24"/>
        <v>0.12500000000000022</v>
      </c>
      <c r="L58">
        <f t="shared" si="24"/>
        <v>0.24999999999999978</v>
      </c>
      <c r="M58">
        <f t="shared" si="24"/>
        <v>0.625</v>
      </c>
      <c r="N58" t="e">
        <f t="shared" si="24"/>
        <v>#DIV/0!</v>
      </c>
      <c r="O58">
        <f t="shared" si="24"/>
        <v>1.500000000000002</v>
      </c>
      <c r="P58">
        <f t="shared" si="24"/>
        <v>0.62499999999999978</v>
      </c>
      <c r="Q58">
        <f t="shared" si="24"/>
        <v>1.5000000000000022</v>
      </c>
      <c r="R58">
        <f t="shared" si="24"/>
        <v>0.48214285714285765</v>
      </c>
      <c r="S58">
        <f t="shared" si="24"/>
        <v>2.625</v>
      </c>
      <c r="T58">
        <f t="shared" si="24"/>
        <v>0.750000000000001</v>
      </c>
      <c r="U58">
        <f t="shared" si="24"/>
        <v>2.1029411764705883</v>
      </c>
      <c r="V58">
        <f t="shared" si="24"/>
        <v>1.6250000000000007</v>
      </c>
      <c r="W58">
        <f t="shared" si="24"/>
        <v>0.87500000000000044</v>
      </c>
      <c r="X58">
        <f t="shared" si="24"/>
        <v>2.25</v>
      </c>
      <c r="Y58">
        <f t="shared" si="24"/>
        <v>0.12500000000000053</v>
      </c>
      <c r="Z58">
        <f t="shared" si="24"/>
        <v>9.8722348855282832E-17</v>
      </c>
      <c r="AA58">
        <f t="shared" si="24"/>
        <v>3.6250000000000013</v>
      </c>
      <c r="AB58">
        <f t="shared" si="24"/>
        <v>2.0771509446240258E-16</v>
      </c>
      <c r="AC58">
        <f t="shared" si="24"/>
        <v>0.62500000000000044</v>
      </c>
      <c r="AD58" t="e">
        <f t="shared" si="24"/>
        <v>#DIV/0!</v>
      </c>
      <c r="AE58">
        <f t="shared" si="24"/>
        <v>1.1250000000000009</v>
      </c>
      <c r="AF58">
        <f t="shared" si="24"/>
        <v>0</v>
      </c>
      <c r="AG58">
        <f t="shared" si="24"/>
        <v>0.37500000000000028</v>
      </c>
      <c r="AH58">
        <f t="shared" ref="AH58:BK58" si="25">MAX(AH30:AH31)-MIN(AH30:AH31)</f>
        <v>1.3750000000000007</v>
      </c>
      <c r="AI58">
        <f t="shared" si="25"/>
        <v>0.375</v>
      </c>
      <c r="AJ58">
        <f t="shared" si="25"/>
        <v>0.25000000000000044</v>
      </c>
      <c r="AK58">
        <f t="shared" si="25"/>
        <v>0.30357142857142694</v>
      </c>
      <c r="AL58">
        <f t="shared" si="25"/>
        <v>0</v>
      </c>
      <c r="AM58">
        <f t="shared" si="25"/>
        <v>0</v>
      </c>
      <c r="AN58">
        <f t="shared" si="25"/>
        <v>0.49999999999999917</v>
      </c>
      <c r="AO58">
        <f t="shared" si="25"/>
        <v>0.29166666666666391</v>
      </c>
      <c r="AP58">
        <f t="shared" si="25"/>
        <v>1.3577586206896579</v>
      </c>
      <c r="AQ58">
        <f t="shared" si="25"/>
        <v>3.3886017204988989E-16</v>
      </c>
      <c r="AR58">
        <f t="shared" si="25"/>
        <v>0.24999999999999911</v>
      </c>
      <c r="AS58">
        <f t="shared" si="25"/>
        <v>0.29166666666666702</v>
      </c>
      <c r="AT58" t="e">
        <f t="shared" si="25"/>
        <v>#DIV/0!</v>
      </c>
      <c r="AU58">
        <f t="shared" si="25"/>
        <v>0.62500000000000044</v>
      </c>
      <c r="AV58">
        <f t="shared" si="25"/>
        <v>0.37500000000000011</v>
      </c>
      <c r="AW58">
        <f t="shared" si="25"/>
        <v>1.0000000000000011</v>
      </c>
      <c r="AX58">
        <f t="shared" si="25"/>
        <v>1.7485847502572364E-16</v>
      </c>
      <c r="AY58">
        <f t="shared" si="25"/>
        <v>2.0000000000000027</v>
      </c>
      <c r="AZ58">
        <f t="shared" si="25"/>
        <v>0.25000000000000228</v>
      </c>
      <c r="BA58">
        <f t="shared" si="25"/>
        <v>1.6250000000000016</v>
      </c>
      <c r="BB58">
        <f t="shared" si="25"/>
        <v>1.6250000000000007</v>
      </c>
      <c r="BC58">
        <f t="shared" si="25"/>
        <v>0.62500000000000067</v>
      </c>
      <c r="BD58">
        <f t="shared" si="25"/>
        <v>1.1949601791827858E-16</v>
      </c>
      <c r="BE58">
        <f t="shared" si="25"/>
        <v>1.6250000000000018</v>
      </c>
      <c r="BF58">
        <f t="shared" si="25"/>
        <v>0.37500000000000044</v>
      </c>
      <c r="BG58">
        <f t="shared" si="25"/>
        <v>0.37500000000000178</v>
      </c>
      <c r="BH58">
        <f t="shared" si="25"/>
        <v>1.2500000000000013</v>
      </c>
      <c r="BI58">
        <f t="shared" si="25"/>
        <v>3.7500000000000044</v>
      </c>
      <c r="BJ58">
        <f t="shared" si="25"/>
        <v>0.44999999999999984</v>
      </c>
      <c r="BK58">
        <f t="shared" si="25"/>
        <v>1.0000000000000011</v>
      </c>
    </row>
    <row r="59" spans="1:63" x14ac:dyDescent="0.3">
      <c r="A59" t="s">
        <v>3</v>
      </c>
      <c r="B59">
        <f t="shared" ref="B59:AG59" si="26">MAX(B32:B33)-MIN(B32:B33)</f>
        <v>1.3750000000000004</v>
      </c>
      <c r="C59">
        <f t="shared" si="26"/>
        <v>1.3749999999999998</v>
      </c>
      <c r="D59">
        <f t="shared" si="26"/>
        <v>2.7500000000000044</v>
      </c>
      <c r="E59" s="15" t="e">
        <f t="shared" si="26"/>
        <v>#DIV/0!</v>
      </c>
      <c r="F59" s="15" t="e">
        <f t="shared" si="26"/>
        <v>#DIV/0!</v>
      </c>
      <c r="G59">
        <f t="shared" si="26"/>
        <v>2.7499999999999996</v>
      </c>
      <c r="H59">
        <f t="shared" si="26"/>
        <v>0</v>
      </c>
      <c r="I59">
        <f t="shared" si="26"/>
        <v>0.749999999999999</v>
      </c>
      <c r="J59">
        <f t="shared" si="26"/>
        <v>2.375000000000004</v>
      </c>
      <c r="K59">
        <f t="shared" si="26"/>
        <v>0.37500000000000017</v>
      </c>
      <c r="L59">
        <f t="shared" si="26"/>
        <v>0.74999999999999978</v>
      </c>
      <c r="M59">
        <f t="shared" si="26"/>
        <v>0.37499999999999978</v>
      </c>
      <c r="N59" t="e">
        <f t="shared" si="26"/>
        <v>#DIV/0!</v>
      </c>
      <c r="O59">
        <f t="shared" si="26"/>
        <v>4.5000000000000018</v>
      </c>
      <c r="P59">
        <f t="shared" si="26"/>
        <v>0.37500000000000039</v>
      </c>
      <c r="Q59">
        <f t="shared" si="26"/>
        <v>2.5000000000000031</v>
      </c>
      <c r="R59">
        <f t="shared" si="26"/>
        <v>1.1250000000000004</v>
      </c>
      <c r="S59">
        <f t="shared" si="26"/>
        <v>1.3750000000000002</v>
      </c>
      <c r="T59">
        <f t="shared" si="26"/>
        <v>0.75000000000000122</v>
      </c>
      <c r="U59">
        <f t="shared" si="26"/>
        <v>4.25</v>
      </c>
      <c r="V59">
        <f t="shared" si="26"/>
        <v>0.87500000000000155</v>
      </c>
      <c r="W59">
        <f t="shared" si="26"/>
        <v>1.1250000000000004</v>
      </c>
      <c r="X59">
        <f t="shared" si="26"/>
        <v>3.2500000000000004</v>
      </c>
      <c r="Y59">
        <f t="shared" si="26"/>
        <v>0.12499999999999906</v>
      </c>
      <c r="Z59">
        <f t="shared" si="26"/>
        <v>7.4476024597418191E-17</v>
      </c>
      <c r="AA59">
        <f t="shared" si="26"/>
        <v>4.875</v>
      </c>
      <c r="AB59">
        <f t="shared" si="26"/>
        <v>0.50000000000000022</v>
      </c>
      <c r="AC59">
        <f t="shared" si="26"/>
        <v>0.12500000000000008</v>
      </c>
      <c r="AD59" t="e">
        <f t="shared" si="26"/>
        <v>#DIV/0!</v>
      </c>
      <c r="AE59">
        <f t="shared" si="26"/>
        <v>1.3750000000000007</v>
      </c>
      <c r="AF59">
        <f t="shared" si="26"/>
        <v>1.9999999999999993</v>
      </c>
      <c r="AG59">
        <f t="shared" si="26"/>
        <v>0.12500000000000072</v>
      </c>
      <c r="AH59">
        <f t="shared" ref="AH59:BK59" si="27">MAX(AH32:AH33)-MIN(AH32:AH33)</f>
        <v>1.1250000000000016</v>
      </c>
      <c r="AI59">
        <f t="shared" si="27"/>
        <v>0.375</v>
      </c>
      <c r="AJ59">
        <f t="shared" si="27"/>
        <v>2.2499999999999991</v>
      </c>
      <c r="AK59">
        <f t="shared" si="27"/>
        <v>0.62499999999999734</v>
      </c>
      <c r="AL59">
        <f t="shared" si="27"/>
        <v>1.0000000000000002</v>
      </c>
      <c r="AM59">
        <f t="shared" si="27"/>
        <v>2.792850922403182E-17</v>
      </c>
      <c r="AN59">
        <f t="shared" si="27"/>
        <v>5.9580819677934553E-16</v>
      </c>
      <c r="AO59">
        <f t="shared" si="27"/>
        <v>0.37500000000000255</v>
      </c>
      <c r="AP59">
        <f t="shared" si="27"/>
        <v>3.6250000000000022</v>
      </c>
      <c r="AQ59">
        <f t="shared" si="27"/>
        <v>0.50000000000000056</v>
      </c>
      <c r="AR59">
        <f t="shared" si="27"/>
        <v>1.2500000000000004</v>
      </c>
      <c r="AS59">
        <f t="shared" si="27"/>
        <v>1.875</v>
      </c>
      <c r="AT59" t="e">
        <f t="shared" si="27"/>
        <v>#DIV/0!</v>
      </c>
      <c r="AU59">
        <f t="shared" si="27"/>
        <v>0.37500000000000122</v>
      </c>
      <c r="AV59">
        <f t="shared" si="27"/>
        <v>0.37499999999999994</v>
      </c>
      <c r="AW59">
        <f t="shared" si="27"/>
        <v>0.50000000000000144</v>
      </c>
      <c r="AX59">
        <f t="shared" si="27"/>
        <v>1.0000000000000002</v>
      </c>
      <c r="AY59">
        <f t="shared" si="27"/>
        <v>3.0000000000000018</v>
      </c>
      <c r="AZ59">
        <f t="shared" si="27"/>
        <v>1.2499999999999976</v>
      </c>
      <c r="BA59">
        <f t="shared" si="27"/>
        <v>2.8750000000000013</v>
      </c>
      <c r="BB59">
        <f t="shared" si="27"/>
        <v>1.3750000000000011</v>
      </c>
      <c r="BC59">
        <f t="shared" si="27"/>
        <v>1.3750000000000004</v>
      </c>
      <c r="BD59">
        <f t="shared" si="27"/>
        <v>0.49999999999999978</v>
      </c>
      <c r="BE59">
        <f t="shared" si="27"/>
        <v>1.8750000000000016</v>
      </c>
      <c r="BF59">
        <f t="shared" si="27"/>
        <v>0.62500000000000033</v>
      </c>
      <c r="BG59">
        <f t="shared" si="27"/>
        <v>1.1250000000000013</v>
      </c>
      <c r="BH59">
        <f t="shared" si="27"/>
        <v>1.7500000000000027</v>
      </c>
      <c r="BI59">
        <f t="shared" si="27"/>
        <v>3.7500000000000049</v>
      </c>
      <c r="BJ59">
        <f t="shared" si="27"/>
        <v>0.249999999999999</v>
      </c>
      <c r="BK59">
        <f t="shared" si="27"/>
        <v>1.0000000000000013</v>
      </c>
    </row>
    <row r="60" spans="1:63" x14ac:dyDescent="0.3">
      <c r="A60" t="s">
        <v>43</v>
      </c>
      <c r="B60">
        <f>MAX(B34:B37)-MIN(B34:B34:B37)</f>
        <v>1.2499999999999998</v>
      </c>
      <c r="C60">
        <f>MAX(C34:C37)-MIN(C34:C34:C37)</f>
        <v>2.75</v>
      </c>
      <c r="D60">
        <f>MAX(D34:D37)-MIN(D34:D34:D37)</f>
        <v>6.9999999999999991</v>
      </c>
      <c r="E60" s="15" t="e">
        <f>MAX(E34:E37)-MIN(E34:E34:E37)</f>
        <v>#DIV/0!</v>
      </c>
      <c r="F60" s="15" t="e">
        <f>MAX(F34:F37)-MIN(F34:F34:F37)</f>
        <v>#DIV/0!</v>
      </c>
      <c r="G60">
        <f>MAX(G34:G37)-MIN(G34:G34:G37)</f>
        <v>2.4999999999999982</v>
      </c>
      <c r="H60">
        <f>MAX(H34:H37)-MIN(H34:H34:H37)</f>
        <v>1.9999999999999991</v>
      </c>
      <c r="I60">
        <f>MAX(I34:I37)-MIN(I34:I34:I37)</f>
        <v>1.4999999999999993</v>
      </c>
      <c r="J60">
        <f>MAX(J34:J37)-MIN(J34:J34:J37)</f>
        <v>3.5</v>
      </c>
      <c r="K60">
        <f>MAX(K34:K37)-MIN(K34:K34:K37)</f>
        <v>0.75000000000000011</v>
      </c>
      <c r="L60">
        <f>MAX(L34:L37)-MIN(L34:L34:L37)</f>
        <v>0.50000000000000011</v>
      </c>
      <c r="M60">
        <f>MAX(M34:M37)-MIN(M34:M34:M37)</f>
        <v>4.5</v>
      </c>
      <c r="N60" t="e">
        <f>MAX(N34:N37)-MIN(N34:N34:N37)</f>
        <v>#DIV/0!</v>
      </c>
      <c r="O60">
        <f>MAX(O34:O37)-MIN(O34:O34:O37)</f>
        <v>3.0000000000000027</v>
      </c>
      <c r="P60">
        <f>MAX(P34:P37)-MIN(P34:P34:P37)</f>
        <v>2.25</v>
      </c>
      <c r="Q60">
        <f>MAX(Q34:Q37)-MIN(Q34:Q34:Q37)</f>
        <v>4.0000000000000009</v>
      </c>
      <c r="R60">
        <f>MAX(R34:R37)-MIN(R34:R34:R37)</f>
        <v>2.5000000000000009</v>
      </c>
      <c r="S60">
        <f>MAX(S34:S37)-MIN(S34:S34:S37)</f>
        <v>2.2500000000000004</v>
      </c>
      <c r="T60">
        <f>MAX(T34:T37)-MIN(T34:T34:T37)</f>
        <v>1.9999999999999996</v>
      </c>
      <c r="U60">
        <f>MAX(U34:U37)-MIN(U34:U34:U37)</f>
        <v>2.4999999999999987</v>
      </c>
      <c r="V60">
        <f>MAX(V34:V37)-MIN(V34:V34:V37)</f>
        <v>2.7499999999999991</v>
      </c>
      <c r="W60">
        <f>MAX(W34:W37)-MIN(W34:W34:W37)</f>
        <v>1.2500000000000002</v>
      </c>
      <c r="X60">
        <f>MAX(X34:X37)-MIN(X34:X34:X37)</f>
        <v>3.5</v>
      </c>
      <c r="Y60">
        <f>MAX(Y34:Y37)-MIN(Y34:Y34:Y37)</f>
        <v>1.2499999999999993</v>
      </c>
      <c r="Z60">
        <f>MAX(Z34:Z37)-MIN(Z34:Z34:Z37)</f>
        <v>5.9999999999999991</v>
      </c>
      <c r="AA60">
        <f>MAX(AA34:AA37)-MIN(AA34:AA34:AA37)</f>
        <v>2.9999999999999991</v>
      </c>
      <c r="AB60">
        <f>MAX(AB34:AB37)-MIN(AB34:AB34:AB37)</f>
        <v>0.50000000000000011</v>
      </c>
      <c r="AC60">
        <f>MAX(AC34:AC37)-MIN(AC34:AC34:AC37)</f>
        <v>2.25</v>
      </c>
      <c r="AD60" t="e">
        <f>MAX(AD34:AD37)-MIN(AD34:AD34:AD37)</f>
        <v>#DIV/0!</v>
      </c>
      <c r="AE60">
        <f>MAX(AE34:AE37)-MIN(AE34:AE34:AE37)</f>
        <v>2.2499999999999996</v>
      </c>
      <c r="AF60">
        <f>MAX(AF34:AF37)-MIN(AF34:AF34:AF37)</f>
        <v>2.7311766527897717E-16</v>
      </c>
      <c r="AG60">
        <f>MAX(AG34:AG37)-MIN(AG34:AG34:AG37)</f>
        <v>1.4999999999999998</v>
      </c>
      <c r="AH60">
        <f>MAX(AH34:AH37)-MIN(AH34:AH34:AH37)</f>
        <v>2.4999999999999996</v>
      </c>
      <c r="AI60">
        <f>MAX(AI34:AI37)-MIN(AI34:AI34:AI37)</f>
        <v>0.49999999999999994</v>
      </c>
      <c r="AJ60">
        <f>MAX(AJ34:AJ37)-MIN(AJ34:AJ34:AJ37)</f>
        <v>2</v>
      </c>
      <c r="AK60">
        <f>MAX(AK34:AK37)-MIN(AK34:AK34:AK37)</f>
        <v>5.25</v>
      </c>
      <c r="AL60">
        <f>MAX(AL34:AL37)-MIN(AL34:AL34:AL37)</f>
        <v>4.3263858607696052E-16</v>
      </c>
      <c r="AM60">
        <f>MAX(AM34:AM37)-MIN(AM34:AM34:AM37)</f>
        <v>0.99999999999999989</v>
      </c>
      <c r="AN60">
        <f>MAX(AN34:AN37)-MIN(AN34:AN34:AN37)</f>
        <v>1.5000000000000002</v>
      </c>
      <c r="AO60">
        <f>MAX(AO34:AO37)-MIN(AO34:AO34:AO37)</f>
        <v>0.49999999999999789</v>
      </c>
      <c r="AP60">
        <f>MAX(AP34:AP37)-MIN(AP34:AP34:AP37)</f>
        <v>5.75</v>
      </c>
      <c r="AQ60">
        <f>MAX(AQ34:AQ37)-MIN(AQ34:AQ34:AQ37)</f>
        <v>1.5</v>
      </c>
      <c r="AR60">
        <f>MAX(AR34:AR37)-MIN(AR34:AR34:AR37)</f>
        <v>4.4999999999999982</v>
      </c>
      <c r="AS60">
        <f>MAX(AS34:AS37)-MIN(AS34:AS34:AS37)</f>
        <v>1.2499999999999998</v>
      </c>
      <c r="AT60" t="e">
        <f>MAX(AT34:AT37)-MIN(AT34:AT34:AT37)</f>
        <v>#DIV/0!</v>
      </c>
      <c r="AU60">
        <f>MAX(AU34:AU37)-MIN(AU34:AU34:AU37)</f>
        <v>4.9999999999999973</v>
      </c>
      <c r="AV60">
        <f>MAX(AV34:AV37)-MIN(AV34:AV34:AV37)</f>
        <v>0.50000000000000022</v>
      </c>
      <c r="AW60">
        <f>MAX(AW34:AW37)-MIN(AW34:AW34:AW37)</f>
        <v>1.4999999999999996</v>
      </c>
      <c r="AX60">
        <f>MAX(AX34:AX37)-MIN(AX34:AX34:AX37)</f>
        <v>3</v>
      </c>
      <c r="AY60">
        <f>MAX(AY34:AY37)-MIN(AY34:AY34:AY37)</f>
        <v>2.0000000000000013</v>
      </c>
      <c r="AZ60">
        <f>MAX(AZ34:AZ37)-MIN(AZ34:AZ34:AZ37)</f>
        <v>2.0000000000000009</v>
      </c>
      <c r="BA60">
        <f>MAX(BA34:BA37)-MIN(BA34:BA34:BA37)</f>
        <v>2.7499999999999996</v>
      </c>
      <c r="BB60">
        <f>MAX(BB34:BB37)-MIN(BB34:BB34:BB37)</f>
        <v>1.5</v>
      </c>
      <c r="BC60">
        <f>MAX(BC34:BC37)-MIN(BC34:BC34:BC37)</f>
        <v>3.75</v>
      </c>
      <c r="BD60">
        <f>MAX(BD34:BD37)-MIN(BD34:BD34:BD37)</f>
        <v>0.99999999999999989</v>
      </c>
      <c r="BE60">
        <f>MAX(BE34:BE37)-MIN(BE34:BE34:BE37)</f>
        <v>2.7500000000000004</v>
      </c>
      <c r="BF60">
        <f>MAX(BF34:BF37)-MIN(BF34:BF34:BF37)</f>
        <v>1.2500000000000002</v>
      </c>
      <c r="BG60">
        <f>MAX(BG34:BG37)-MIN(BG34:BG34:BG37)</f>
        <v>2</v>
      </c>
      <c r="BH60">
        <f>MAX(BH34:BH37)-MIN(BH34:BH34:BH37)</f>
        <v>5.4999999999999982</v>
      </c>
      <c r="BI60">
        <f>MAX(BI34:BI37)-MIN(BI34:BI34:BI37)</f>
        <v>5.4999999999999982</v>
      </c>
      <c r="BJ60">
        <f>MAX(BJ34:BJ37)-MIN(BJ34:BJ34:BJ37)</f>
        <v>2.5000000000000004</v>
      </c>
      <c r="BK60">
        <f>MAX(BK34:BK37)-MIN(BK34:BK34:BK37)</f>
        <v>2.0000000000000004</v>
      </c>
    </row>
    <row r="61" spans="1:63" x14ac:dyDescent="0.3">
      <c r="A61" t="s">
        <v>53</v>
      </c>
      <c r="B61">
        <f t="shared" ref="B61:AG61" si="28">MAX(B38:B41)-MIN(B38:B41)</f>
        <v>1.5000000000000004</v>
      </c>
      <c r="C61">
        <f t="shared" si="28"/>
        <v>1.0000000000000007</v>
      </c>
      <c r="D61">
        <f t="shared" si="28"/>
        <v>2.0000000000000013</v>
      </c>
      <c r="E61" s="15" t="e">
        <f t="shared" si="28"/>
        <v>#DIV/0!</v>
      </c>
      <c r="F61" s="15" t="e">
        <f t="shared" si="28"/>
        <v>#DIV/0!</v>
      </c>
      <c r="G61">
        <f t="shared" si="28"/>
        <v>1.0000000000000004</v>
      </c>
      <c r="H61">
        <f t="shared" si="28"/>
        <v>2.6521370819096691E-16</v>
      </c>
      <c r="I61">
        <f t="shared" si="28"/>
        <v>4.5715215232519518E-16</v>
      </c>
      <c r="J61">
        <f t="shared" si="28"/>
        <v>0.50000000000000244</v>
      </c>
      <c r="K61">
        <f t="shared" si="28"/>
        <v>1.5</v>
      </c>
      <c r="L61">
        <f t="shared" si="28"/>
        <v>1.9876180535878052E-16</v>
      </c>
      <c r="M61">
        <f t="shared" si="28"/>
        <v>0.49999999999999956</v>
      </c>
      <c r="N61" t="e">
        <f t="shared" si="28"/>
        <v>#DIV/0!</v>
      </c>
      <c r="O61">
        <f t="shared" si="28"/>
        <v>2.7051798235478628E-15</v>
      </c>
      <c r="P61">
        <f t="shared" si="28"/>
        <v>0.5</v>
      </c>
      <c r="Q61">
        <f t="shared" si="28"/>
        <v>1.405454482470791E-15</v>
      </c>
      <c r="R61">
        <f t="shared" si="28"/>
        <v>2.4999999999999991</v>
      </c>
      <c r="S61">
        <f t="shared" si="28"/>
        <v>1.5</v>
      </c>
      <c r="T61">
        <f t="shared" si="28"/>
        <v>0.50000000000000022</v>
      </c>
      <c r="U61">
        <f t="shared" si="28"/>
        <v>2</v>
      </c>
      <c r="V61">
        <f t="shared" si="28"/>
        <v>1.4999999999999998</v>
      </c>
      <c r="W61">
        <f t="shared" si="28"/>
        <v>0.50000000000000022</v>
      </c>
      <c r="X61">
        <f t="shared" si="28"/>
        <v>0.49999999999999944</v>
      </c>
      <c r="Y61">
        <f t="shared" si="28"/>
        <v>0.50000000000000011</v>
      </c>
      <c r="Z61">
        <f t="shared" si="28"/>
        <v>8.3479958250687813E-16</v>
      </c>
      <c r="AA61">
        <f t="shared" si="28"/>
        <v>2.5000000000000004</v>
      </c>
      <c r="AB61">
        <f t="shared" si="28"/>
        <v>0.5</v>
      </c>
      <c r="AC61">
        <f t="shared" si="28"/>
        <v>1.9999999999999998</v>
      </c>
      <c r="AD61" t="e">
        <f t="shared" si="28"/>
        <v>#DIV/0!</v>
      </c>
      <c r="AE61">
        <f t="shared" si="28"/>
        <v>1.5000000000000004</v>
      </c>
      <c r="AF61">
        <f t="shared" si="28"/>
        <v>2.2528317617787721E-16</v>
      </c>
      <c r="AG61">
        <f t="shared" si="28"/>
        <v>0.99999999999999989</v>
      </c>
      <c r="AH61">
        <f t="shared" ref="AH61:BK61" si="29">MAX(AH38:AH41)-MIN(AH38:AH41)</f>
        <v>1.5</v>
      </c>
      <c r="AI61">
        <f t="shared" si="29"/>
        <v>0.49999999999999983</v>
      </c>
      <c r="AJ61">
        <f t="shared" si="29"/>
        <v>0.50000000000000067</v>
      </c>
      <c r="AK61">
        <f t="shared" si="29"/>
        <v>0.49999999999999895</v>
      </c>
      <c r="AL61">
        <f t="shared" si="29"/>
        <v>3.4842953127240568E-16</v>
      </c>
      <c r="AM61">
        <f t="shared" si="29"/>
        <v>7.9504722143512202E-17</v>
      </c>
      <c r="AN61">
        <f t="shared" si="29"/>
        <v>0.49999999999999989</v>
      </c>
      <c r="AO61">
        <f t="shared" si="29"/>
        <v>4.4999999999999956</v>
      </c>
      <c r="AP61">
        <f t="shared" si="29"/>
        <v>2.5000000000000018</v>
      </c>
      <c r="AQ61">
        <f t="shared" si="29"/>
        <v>0.99999999999999944</v>
      </c>
      <c r="AR61">
        <f t="shared" si="29"/>
        <v>3.9999999999999987</v>
      </c>
      <c r="AS61">
        <f t="shared" si="29"/>
        <v>0.49999999999999906</v>
      </c>
      <c r="AT61" t="e">
        <f t="shared" si="29"/>
        <v>#DIV/0!</v>
      </c>
      <c r="AU61">
        <f t="shared" si="29"/>
        <v>0.50000000000000044</v>
      </c>
      <c r="AV61">
        <f t="shared" si="29"/>
        <v>0.49999999999999989</v>
      </c>
      <c r="AW61">
        <f t="shared" si="29"/>
        <v>1.0000000000000004</v>
      </c>
      <c r="AX61">
        <f t="shared" si="29"/>
        <v>0.99999999999999956</v>
      </c>
      <c r="AY61">
        <f t="shared" si="29"/>
        <v>1.0000000000000016</v>
      </c>
      <c r="AZ61">
        <f t="shared" si="29"/>
        <v>1.9999999999999982</v>
      </c>
      <c r="BA61">
        <f t="shared" si="29"/>
        <v>2.5000000000000009</v>
      </c>
      <c r="BB61">
        <f t="shared" si="29"/>
        <v>1.0000000000000004</v>
      </c>
      <c r="BC61">
        <f t="shared" si="29"/>
        <v>0.50000000000000078</v>
      </c>
      <c r="BD61">
        <f t="shared" si="29"/>
        <v>0.99999999999999989</v>
      </c>
      <c r="BE61">
        <f t="shared" si="29"/>
        <v>0.50000000000000122</v>
      </c>
      <c r="BF61">
        <f t="shared" si="29"/>
        <v>1.0000000000000002</v>
      </c>
      <c r="BG61">
        <f t="shared" si="29"/>
        <v>0.49999999999999928</v>
      </c>
      <c r="BH61">
        <f t="shared" si="29"/>
        <v>2.0000000000000004</v>
      </c>
      <c r="BI61">
        <f t="shared" si="29"/>
        <v>0.99999999999999645</v>
      </c>
      <c r="BJ61">
        <f t="shared" si="29"/>
        <v>0.99999999999999978</v>
      </c>
      <c r="BK61">
        <f t="shared" si="29"/>
        <v>5.8305442582368218E-16</v>
      </c>
    </row>
    <row r="62" spans="1:63" s="19" customFormat="1" x14ac:dyDescent="0.3">
      <c r="A62" s="19" t="s">
        <v>54</v>
      </c>
      <c r="B62" s="19">
        <f>SUM(B58:B61)</f>
        <v>5.2500000000000018</v>
      </c>
      <c r="C62" s="19">
        <f t="shared" ref="C62:BK62" si="30">SUM(C58:C61)</f>
        <v>5.2954545454545459</v>
      </c>
      <c r="D62" s="19">
        <f t="shared" si="30"/>
        <v>15.500000000000009</v>
      </c>
      <c r="E62" s="20" t="e">
        <f t="shared" si="30"/>
        <v>#DIV/0!</v>
      </c>
      <c r="F62" s="20" t="e">
        <f t="shared" si="30"/>
        <v>#DIV/0!</v>
      </c>
      <c r="G62" s="19">
        <f t="shared" si="30"/>
        <v>7.4999999999999982</v>
      </c>
      <c r="H62" s="19">
        <f t="shared" si="30"/>
        <v>2.9999999999999991</v>
      </c>
      <c r="I62" s="19">
        <f t="shared" si="30"/>
        <v>2.3333333333333317</v>
      </c>
      <c r="J62" s="19">
        <f t="shared" si="30"/>
        <v>10.000000000000011</v>
      </c>
      <c r="K62" s="19">
        <f t="shared" si="30"/>
        <v>2.7500000000000004</v>
      </c>
      <c r="L62" s="19">
        <f t="shared" si="30"/>
        <v>1.4999999999999998</v>
      </c>
      <c r="M62" s="19">
        <f t="shared" si="30"/>
        <v>6</v>
      </c>
      <c r="N62" s="19" t="e">
        <f t="shared" si="30"/>
        <v>#DIV/0!</v>
      </c>
      <c r="O62" s="19">
        <f t="shared" si="30"/>
        <v>9.0000000000000107</v>
      </c>
      <c r="P62" s="19">
        <f t="shared" si="30"/>
        <v>3.75</v>
      </c>
      <c r="Q62" s="19">
        <f t="shared" si="30"/>
        <v>8.0000000000000089</v>
      </c>
      <c r="R62" s="19">
        <f t="shared" si="30"/>
        <v>6.6071428571428585</v>
      </c>
      <c r="S62" s="19">
        <f t="shared" si="30"/>
        <v>7.75</v>
      </c>
      <c r="T62" s="19">
        <f t="shared" si="30"/>
        <v>4.0000000000000018</v>
      </c>
      <c r="U62" s="19">
        <f t="shared" si="30"/>
        <v>10.852941176470587</v>
      </c>
      <c r="V62" s="19">
        <f t="shared" si="30"/>
        <v>6.7500000000000018</v>
      </c>
      <c r="W62" s="19">
        <f t="shared" si="30"/>
        <v>3.7500000000000009</v>
      </c>
      <c r="X62" s="19">
        <f t="shared" si="30"/>
        <v>9.5</v>
      </c>
      <c r="Y62" s="19">
        <f t="shared" si="30"/>
        <v>1.9999999999999991</v>
      </c>
      <c r="Z62" s="19">
        <f t="shared" si="30"/>
        <v>6</v>
      </c>
      <c r="AA62" s="19">
        <f t="shared" si="30"/>
        <v>14</v>
      </c>
      <c r="AB62" s="19">
        <f t="shared" si="30"/>
        <v>1.5000000000000004</v>
      </c>
      <c r="AC62" s="19">
        <f t="shared" si="30"/>
        <v>5</v>
      </c>
      <c r="AD62" s="19" t="e">
        <f t="shared" si="30"/>
        <v>#DIV/0!</v>
      </c>
      <c r="AE62" s="19">
        <f t="shared" si="30"/>
        <v>6.2500000000000018</v>
      </c>
      <c r="AF62" s="19">
        <f t="shared" si="30"/>
        <v>1.9999999999999998</v>
      </c>
      <c r="AG62" s="19">
        <f t="shared" si="30"/>
        <v>3.0000000000000009</v>
      </c>
      <c r="AH62" s="19">
        <f t="shared" si="30"/>
        <v>6.5000000000000018</v>
      </c>
      <c r="AI62" s="19">
        <f t="shared" si="30"/>
        <v>1.7499999999999998</v>
      </c>
      <c r="AJ62" s="19">
        <f t="shared" si="30"/>
        <v>5.0000000000000009</v>
      </c>
      <c r="AK62" s="19">
        <f t="shared" si="30"/>
        <v>6.6785714285714235</v>
      </c>
      <c r="AL62" s="19">
        <f t="shared" si="30"/>
        <v>1.0000000000000011</v>
      </c>
      <c r="AM62" s="19">
        <f t="shared" si="30"/>
        <v>1</v>
      </c>
      <c r="AN62" s="19">
        <f t="shared" si="30"/>
        <v>2.5</v>
      </c>
      <c r="AO62" s="19">
        <f t="shared" si="30"/>
        <v>5.6666666666666599</v>
      </c>
      <c r="AP62" s="19">
        <f t="shared" si="30"/>
        <v>13.232758620689662</v>
      </c>
      <c r="AQ62" s="19">
        <f t="shared" si="30"/>
        <v>3.0000000000000004</v>
      </c>
      <c r="AR62" s="19">
        <f t="shared" si="30"/>
        <v>9.9999999999999964</v>
      </c>
      <c r="AS62" s="19">
        <f t="shared" si="30"/>
        <v>3.9166666666666661</v>
      </c>
      <c r="AT62" s="19" t="e">
        <f t="shared" si="30"/>
        <v>#DIV/0!</v>
      </c>
      <c r="AU62" s="19">
        <f t="shared" si="30"/>
        <v>6.5</v>
      </c>
      <c r="AV62" s="19">
        <f t="shared" si="30"/>
        <v>1.75</v>
      </c>
      <c r="AW62" s="19">
        <f t="shared" si="30"/>
        <v>4.0000000000000027</v>
      </c>
      <c r="AX62" s="19">
        <f t="shared" si="30"/>
        <v>5</v>
      </c>
      <c r="AY62" s="19">
        <f t="shared" si="30"/>
        <v>8.0000000000000071</v>
      </c>
      <c r="AZ62" s="19">
        <f t="shared" si="30"/>
        <v>5.4999999999999991</v>
      </c>
      <c r="BA62" s="19">
        <f t="shared" si="30"/>
        <v>9.7500000000000036</v>
      </c>
      <c r="BB62" s="19">
        <f t="shared" si="30"/>
        <v>5.5000000000000018</v>
      </c>
      <c r="BC62" s="19">
        <f t="shared" si="30"/>
        <v>6.2500000000000018</v>
      </c>
      <c r="BD62" s="19">
        <f t="shared" si="30"/>
        <v>2.4999999999999996</v>
      </c>
      <c r="BE62" s="19">
        <f t="shared" si="30"/>
        <v>6.7500000000000044</v>
      </c>
      <c r="BF62" s="19">
        <f t="shared" si="30"/>
        <v>3.2500000000000009</v>
      </c>
      <c r="BG62" s="19">
        <f t="shared" si="30"/>
        <v>4.0000000000000027</v>
      </c>
      <c r="BH62" s="19">
        <f t="shared" si="30"/>
        <v>10.500000000000002</v>
      </c>
      <c r="BI62" s="19">
        <f t="shared" si="30"/>
        <v>14.000000000000004</v>
      </c>
      <c r="BJ62" s="19">
        <f t="shared" si="30"/>
        <v>4.1999999999999993</v>
      </c>
      <c r="BK62" s="19">
        <f t="shared" si="30"/>
        <v>4.0000000000000044</v>
      </c>
    </row>
    <row r="65" spans="1:63" x14ac:dyDescent="0.3">
      <c r="K65" s="18" t="s">
        <v>66</v>
      </c>
    </row>
    <row r="68" spans="1:63" x14ac:dyDescent="0.3">
      <c r="A68" t="s">
        <v>44</v>
      </c>
      <c r="B68">
        <f>B58/B62</f>
        <v>0.21428571428571433</v>
      </c>
      <c r="C68">
        <f t="shared" ref="C68:BK68" si="31">C58/C62</f>
        <v>3.218884120171675E-2</v>
      </c>
      <c r="D68">
        <f t="shared" si="31"/>
        <v>0.24193548387096778</v>
      </c>
      <c r="E68" s="15" t="e">
        <f t="shared" si="31"/>
        <v>#DIV/0!</v>
      </c>
      <c r="F68" s="15" t="e">
        <f t="shared" si="31"/>
        <v>#DIV/0!</v>
      </c>
      <c r="G68">
        <f t="shared" si="31"/>
        <v>0.16666666666666677</v>
      </c>
      <c r="H68">
        <f t="shared" si="31"/>
        <v>0.33333333333333326</v>
      </c>
      <c r="I68">
        <f t="shared" si="31"/>
        <v>3.5714285714285622E-2</v>
      </c>
      <c r="J68">
        <f t="shared" si="31"/>
        <v>0.3625000000000001</v>
      </c>
      <c r="K68">
        <f t="shared" si="31"/>
        <v>4.5454545454545525E-2</v>
      </c>
      <c r="L68">
        <f t="shared" si="31"/>
        <v>0.16666666666666655</v>
      </c>
      <c r="M68">
        <f t="shared" si="31"/>
        <v>0.10416666666666667</v>
      </c>
      <c r="N68" t="e">
        <f t="shared" si="31"/>
        <v>#DIV/0!</v>
      </c>
      <c r="O68">
        <f t="shared" si="31"/>
        <v>0.16666666666666669</v>
      </c>
      <c r="P68">
        <f t="shared" si="31"/>
        <v>0.1666666666666666</v>
      </c>
      <c r="Q68">
        <f t="shared" si="31"/>
        <v>0.18750000000000006</v>
      </c>
      <c r="R68">
        <f t="shared" si="31"/>
        <v>7.2972972972973033E-2</v>
      </c>
      <c r="S68">
        <f t="shared" si="31"/>
        <v>0.33870967741935482</v>
      </c>
      <c r="T68">
        <f t="shared" si="31"/>
        <v>0.18750000000000017</v>
      </c>
      <c r="U68">
        <f t="shared" si="31"/>
        <v>0.19376693766937672</v>
      </c>
      <c r="V68">
        <f t="shared" si="31"/>
        <v>0.24074074074074078</v>
      </c>
      <c r="W68">
        <f t="shared" si="31"/>
        <v>0.23333333333333339</v>
      </c>
      <c r="X68">
        <f t="shared" si="31"/>
        <v>0.23684210526315788</v>
      </c>
      <c r="Y68">
        <f t="shared" si="31"/>
        <v>6.2500000000000291E-2</v>
      </c>
      <c r="Z68">
        <f t="shared" si="31"/>
        <v>1.6453724809213804E-17</v>
      </c>
      <c r="AA68">
        <f t="shared" si="31"/>
        <v>0.25892857142857151</v>
      </c>
      <c r="AB68">
        <f t="shared" si="31"/>
        <v>1.3847672964160169E-16</v>
      </c>
      <c r="AC68">
        <f t="shared" si="31"/>
        <v>0.12500000000000008</v>
      </c>
      <c r="AD68" t="e">
        <f t="shared" si="31"/>
        <v>#DIV/0!</v>
      </c>
      <c r="AE68">
        <f t="shared" si="31"/>
        <v>0.1800000000000001</v>
      </c>
      <c r="AF68">
        <f t="shared" si="31"/>
        <v>0</v>
      </c>
      <c r="AG68">
        <f t="shared" si="31"/>
        <v>0.12500000000000006</v>
      </c>
      <c r="AH68">
        <f t="shared" si="31"/>
        <v>0.21153846153846159</v>
      </c>
      <c r="AI68">
        <f t="shared" si="31"/>
        <v>0.2142857142857143</v>
      </c>
      <c r="AJ68">
        <f t="shared" si="31"/>
        <v>5.0000000000000079E-2</v>
      </c>
      <c r="AK68">
        <f t="shared" si="31"/>
        <v>4.5454545454545248E-2</v>
      </c>
      <c r="AL68">
        <f t="shared" si="31"/>
        <v>0</v>
      </c>
      <c r="AM68">
        <f t="shared" si="31"/>
        <v>0</v>
      </c>
      <c r="AN68">
        <f t="shared" si="31"/>
        <v>0.19999999999999968</v>
      </c>
      <c r="AO68">
        <f t="shared" si="31"/>
        <v>5.1470588235293692E-2</v>
      </c>
      <c r="AP68">
        <f t="shared" si="31"/>
        <v>0.10260586319218257</v>
      </c>
      <c r="AQ68">
        <f t="shared" si="31"/>
        <v>1.1295339068329662E-16</v>
      </c>
      <c r="AR68">
        <f t="shared" si="31"/>
        <v>2.4999999999999922E-2</v>
      </c>
      <c r="AS68">
        <f t="shared" si="31"/>
        <v>7.4468085106383086E-2</v>
      </c>
      <c r="AT68" t="e">
        <f t="shared" si="31"/>
        <v>#DIV/0!</v>
      </c>
      <c r="AU68">
        <f t="shared" si="31"/>
        <v>9.6153846153846229E-2</v>
      </c>
      <c r="AV68">
        <f t="shared" si="31"/>
        <v>0.21428571428571436</v>
      </c>
      <c r="AW68">
        <f t="shared" si="31"/>
        <v>0.25000000000000011</v>
      </c>
      <c r="AX68">
        <f t="shared" si="31"/>
        <v>3.497169500514473E-17</v>
      </c>
      <c r="AY68">
        <f t="shared" si="31"/>
        <v>0.25000000000000011</v>
      </c>
      <c r="AZ68">
        <f t="shared" si="31"/>
        <v>4.5454545454545879E-2</v>
      </c>
      <c r="BA68">
        <f t="shared" si="31"/>
        <v>0.16666666666666677</v>
      </c>
      <c r="BB68">
        <f t="shared" si="31"/>
        <v>0.29545454545454547</v>
      </c>
      <c r="BC68">
        <f t="shared" si="31"/>
        <v>0.10000000000000007</v>
      </c>
      <c r="BD68">
        <f t="shared" si="31"/>
        <v>4.7798407167311439E-17</v>
      </c>
      <c r="BE68">
        <f t="shared" si="31"/>
        <v>0.24074074074074084</v>
      </c>
      <c r="BF68">
        <f t="shared" si="31"/>
        <v>0.11538461538461549</v>
      </c>
      <c r="BG68">
        <f t="shared" si="31"/>
        <v>9.3750000000000389E-2</v>
      </c>
      <c r="BH68">
        <f t="shared" si="31"/>
        <v>0.11904761904761915</v>
      </c>
      <c r="BI68">
        <f t="shared" si="31"/>
        <v>0.26785714285714313</v>
      </c>
      <c r="BJ68">
        <f t="shared" si="31"/>
        <v>0.10714285714285712</v>
      </c>
      <c r="BK68">
        <f t="shared" si="31"/>
        <v>0.25</v>
      </c>
    </row>
    <row r="69" spans="1:63" x14ac:dyDescent="0.3">
      <c r="A69" t="s">
        <v>3</v>
      </c>
      <c r="B69">
        <f>B59/B62</f>
        <v>0.26190476190476192</v>
      </c>
      <c r="C69">
        <f t="shared" ref="C69:BK69" si="32">C59/C62</f>
        <v>0.25965665236051494</v>
      </c>
      <c r="D69">
        <f t="shared" si="32"/>
        <v>0.17741935483870985</v>
      </c>
      <c r="E69" s="15" t="e">
        <f t="shared" si="32"/>
        <v>#DIV/0!</v>
      </c>
      <c r="F69" s="15" t="e">
        <f t="shared" si="32"/>
        <v>#DIV/0!</v>
      </c>
      <c r="G69">
        <f t="shared" si="32"/>
        <v>0.3666666666666667</v>
      </c>
      <c r="H69">
        <f t="shared" si="32"/>
        <v>0</v>
      </c>
      <c r="I69">
        <f t="shared" si="32"/>
        <v>0.32142857142857123</v>
      </c>
      <c r="J69">
        <f t="shared" si="32"/>
        <v>0.23750000000000016</v>
      </c>
      <c r="K69">
        <f t="shared" si="32"/>
        <v>0.13636363636363641</v>
      </c>
      <c r="L69">
        <f t="shared" si="32"/>
        <v>0.49999999999999994</v>
      </c>
      <c r="M69">
        <f t="shared" si="32"/>
        <v>6.2499999999999965E-2</v>
      </c>
      <c r="N69" t="e">
        <f t="shared" si="32"/>
        <v>#DIV/0!</v>
      </c>
      <c r="O69">
        <f t="shared" si="32"/>
        <v>0.49999999999999961</v>
      </c>
      <c r="P69">
        <f t="shared" si="32"/>
        <v>0.1000000000000001</v>
      </c>
      <c r="Q69">
        <f t="shared" si="32"/>
        <v>0.31250000000000006</v>
      </c>
      <c r="R69">
        <f t="shared" si="32"/>
        <v>0.17027027027027031</v>
      </c>
      <c r="S69">
        <f t="shared" si="32"/>
        <v>0.17741935483870971</v>
      </c>
      <c r="T69">
        <f t="shared" si="32"/>
        <v>0.18750000000000022</v>
      </c>
      <c r="U69">
        <f t="shared" si="32"/>
        <v>0.39159891598915991</v>
      </c>
      <c r="V69">
        <f t="shared" si="32"/>
        <v>0.12962962962962982</v>
      </c>
      <c r="W69">
        <f t="shared" si="32"/>
        <v>0.30000000000000004</v>
      </c>
      <c r="X69">
        <f t="shared" si="32"/>
        <v>0.3421052631578948</v>
      </c>
      <c r="Y69">
        <f t="shared" si="32"/>
        <v>6.2499999999999556E-2</v>
      </c>
      <c r="Z69">
        <f t="shared" si="32"/>
        <v>1.2412670766236365E-17</v>
      </c>
      <c r="AA69">
        <f t="shared" si="32"/>
        <v>0.3482142857142857</v>
      </c>
      <c r="AB69">
        <f t="shared" si="32"/>
        <v>0.33333333333333337</v>
      </c>
      <c r="AC69">
        <f t="shared" si="32"/>
        <v>2.5000000000000015E-2</v>
      </c>
      <c r="AD69" t="e">
        <f t="shared" si="32"/>
        <v>#DIV/0!</v>
      </c>
      <c r="AE69">
        <f t="shared" si="32"/>
        <v>0.22000000000000006</v>
      </c>
      <c r="AF69">
        <f t="shared" si="32"/>
        <v>0.99999999999999978</v>
      </c>
      <c r="AG69">
        <f t="shared" si="32"/>
        <v>4.1666666666666893E-2</v>
      </c>
      <c r="AH69">
        <f t="shared" si="32"/>
        <v>0.17307692307692327</v>
      </c>
      <c r="AI69">
        <f t="shared" si="32"/>
        <v>0.2142857142857143</v>
      </c>
      <c r="AJ69">
        <f t="shared" si="32"/>
        <v>0.44999999999999973</v>
      </c>
      <c r="AK69">
        <f t="shared" si="32"/>
        <v>9.3582887700534426E-2</v>
      </c>
      <c r="AL69">
        <f t="shared" si="32"/>
        <v>0.99999999999999911</v>
      </c>
      <c r="AM69">
        <f t="shared" si="32"/>
        <v>2.792850922403182E-17</v>
      </c>
      <c r="AN69">
        <f t="shared" si="32"/>
        <v>2.3832327871173822E-16</v>
      </c>
      <c r="AO69">
        <f t="shared" si="32"/>
        <v>6.6176470588235822E-2</v>
      </c>
      <c r="AP69">
        <f t="shared" si="32"/>
        <v>0.27394136807817593</v>
      </c>
      <c r="AQ69">
        <f t="shared" si="32"/>
        <v>0.16666666666666682</v>
      </c>
      <c r="AR69">
        <f t="shared" si="32"/>
        <v>0.12500000000000008</v>
      </c>
      <c r="AS69">
        <f t="shared" si="32"/>
        <v>0.47872340425531923</v>
      </c>
      <c r="AT69" t="e">
        <f t="shared" si="32"/>
        <v>#DIV/0!</v>
      </c>
      <c r="AU69">
        <f t="shared" si="32"/>
        <v>5.7692307692307883E-2</v>
      </c>
      <c r="AV69">
        <f t="shared" si="32"/>
        <v>0.21428571428571425</v>
      </c>
      <c r="AW69">
        <f t="shared" si="32"/>
        <v>0.12500000000000028</v>
      </c>
      <c r="AX69">
        <f t="shared" si="32"/>
        <v>0.20000000000000004</v>
      </c>
      <c r="AY69">
        <f t="shared" si="32"/>
        <v>0.37499999999999989</v>
      </c>
      <c r="AZ69">
        <f t="shared" si="32"/>
        <v>0.22727272727272688</v>
      </c>
      <c r="BA69">
        <f t="shared" si="32"/>
        <v>0.29487179487179488</v>
      </c>
      <c r="BB69">
        <f t="shared" si="32"/>
        <v>0.25000000000000011</v>
      </c>
      <c r="BC69">
        <f t="shared" si="32"/>
        <v>0.22</v>
      </c>
      <c r="BD69">
        <f t="shared" si="32"/>
        <v>0.19999999999999996</v>
      </c>
      <c r="BE69">
        <f t="shared" si="32"/>
        <v>0.27777777777777785</v>
      </c>
      <c r="BF69">
        <f t="shared" si="32"/>
        <v>0.19230769230769235</v>
      </c>
      <c r="BG69">
        <f t="shared" si="32"/>
        <v>0.28125000000000017</v>
      </c>
      <c r="BH69">
        <f t="shared" si="32"/>
        <v>0.16666666666666688</v>
      </c>
      <c r="BI69">
        <f t="shared" si="32"/>
        <v>0.26785714285714313</v>
      </c>
      <c r="BJ69">
        <f t="shared" si="32"/>
        <v>5.9523809523809298E-2</v>
      </c>
      <c r="BK69">
        <f t="shared" si="32"/>
        <v>0.25000000000000006</v>
      </c>
    </row>
    <row r="70" spans="1:63" x14ac:dyDescent="0.3">
      <c r="A70" t="s">
        <v>43</v>
      </c>
      <c r="B70">
        <f>B60/B62</f>
        <v>0.23809523809523797</v>
      </c>
      <c r="C70">
        <f t="shared" ref="C70:BK70" si="33">C60/C62</f>
        <v>0.51931330472102999</v>
      </c>
      <c r="D70">
        <f t="shared" si="33"/>
        <v>0.45161290322580616</v>
      </c>
      <c r="E70" s="15" t="e">
        <f t="shared" si="33"/>
        <v>#DIV/0!</v>
      </c>
      <c r="F70" s="15" t="e">
        <f t="shared" si="33"/>
        <v>#DIV/0!</v>
      </c>
      <c r="G70">
        <f t="shared" si="33"/>
        <v>0.33333333333333315</v>
      </c>
      <c r="H70">
        <f t="shared" si="33"/>
        <v>0.66666666666666652</v>
      </c>
      <c r="I70">
        <f t="shared" si="33"/>
        <v>0.64285714285714302</v>
      </c>
      <c r="J70">
        <f t="shared" si="33"/>
        <v>0.34999999999999964</v>
      </c>
      <c r="K70">
        <f t="shared" si="33"/>
        <v>0.27272727272727271</v>
      </c>
      <c r="L70">
        <f t="shared" si="33"/>
        <v>0.33333333333333348</v>
      </c>
      <c r="M70">
        <f t="shared" si="33"/>
        <v>0.75</v>
      </c>
      <c r="N70" t="e">
        <f t="shared" si="33"/>
        <v>#DIV/0!</v>
      </c>
      <c r="O70">
        <f t="shared" si="33"/>
        <v>0.33333333333333326</v>
      </c>
      <c r="P70">
        <f t="shared" si="33"/>
        <v>0.6</v>
      </c>
      <c r="Q70">
        <f t="shared" si="33"/>
        <v>0.49999999999999956</v>
      </c>
      <c r="R70">
        <f t="shared" si="33"/>
        <v>0.37837837837837845</v>
      </c>
      <c r="S70">
        <f t="shared" si="33"/>
        <v>0.29032258064516137</v>
      </c>
      <c r="T70">
        <f t="shared" si="33"/>
        <v>0.49999999999999967</v>
      </c>
      <c r="U70">
        <f t="shared" si="33"/>
        <v>0.23035230352303512</v>
      </c>
      <c r="V70">
        <f t="shared" si="33"/>
        <v>0.40740740740740716</v>
      </c>
      <c r="W70">
        <f t="shared" si="33"/>
        <v>0.33333333333333331</v>
      </c>
      <c r="X70">
        <f t="shared" si="33"/>
        <v>0.36842105263157893</v>
      </c>
      <c r="Y70">
        <f t="shared" si="33"/>
        <v>0.625</v>
      </c>
      <c r="Z70">
        <f t="shared" si="33"/>
        <v>0.99999999999999989</v>
      </c>
      <c r="AA70">
        <f t="shared" si="33"/>
        <v>0.21428571428571422</v>
      </c>
      <c r="AB70">
        <f t="shared" si="33"/>
        <v>0.33333333333333331</v>
      </c>
      <c r="AC70">
        <f t="shared" si="33"/>
        <v>0.45</v>
      </c>
      <c r="AD70" t="e">
        <f t="shared" si="33"/>
        <v>#DIV/0!</v>
      </c>
      <c r="AE70">
        <f t="shared" si="33"/>
        <v>0.35999999999999982</v>
      </c>
      <c r="AF70">
        <f t="shared" si="33"/>
        <v>1.3655883263948861E-16</v>
      </c>
      <c r="AG70">
        <f t="shared" si="33"/>
        <v>0.49999999999999978</v>
      </c>
      <c r="AH70">
        <f t="shared" si="33"/>
        <v>0.38461538461538441</v>
      </c>
      <c r="AI70">
        <f t="shared" si="33"/>
        <v>0.2857142857142857</v>
      </c>
      <c r="AJ70">
        <f t="shared" si="33"/>
        <v>0.39999999999999991</v>
      </c>
      <c r="AK70">
        <f t="shared" si="33"/>
        <v>0.78609625668449257</v>
      </c>
      <c r="AL70">
        <f t="shared" si="33"/>
        <v>4.3263858607696003E-16</v>
      </c>
      <c r="AM70">
        <f t="shared" si="33"/>
        <v>0.99999999999999989</v>
      </c>
      <c r="AN70">
        <f t="shared" si="33"/>
        <v>0.60000000000000009</v>
      </c>
      <c r="AO70">
        <f t="shared" si="33"/>
        <v>8.8235294117646787E-2</v>
      </c>
      <c r="AP70">
        <f t="shared" si="33"/>
        <v>0.43452768729641672</v>
      </c>
      <c r="AQ70">
        <f t="shared" si="33"/>
        <v>0.49999999999999994</v>
      </c>
      <c r="AR70">
        <f t="shared" si="33"/>
        <v>0.44999999999999996</v>
      </c>
      <c r="AS70">
        <f t="shared" si="33"/>
        <v>0.31914893617021278</v>
      </c>
      <c r="AT70" t="e">
        <f t="shared" si="33"/>
        <v>#DIV/0!</v>
      </c>
      <c r="AU70">
        <f t="shared" si="33"/>
        <v>0.76923076923076883</v>
      </c>
      <c r="AV70">
        <f t="shared" si="33"/>
        <v>0.28571428571428586</v>
      </c>
      <c r="AW70">
        <f t="shared" si="33"/>
        <v>0.37499999999999967</v>
      </c>
      <c r="AX70">
        <f t="shared" si="33"/>
        <v>0.6</v>
      </c>
      <c r="AY70">
        <f t="shared" si="33"/>
        <v>0.24999999999999994</v>
      </c>
      <c r="AZ70">
        <f t="shared" si="33"/>
        <v>0.36363636363636387</v>
      </c>
      <c r="BA70">
        <f t="shared" si="33"/>
        <v>0.28205128205128188</v>
      </c>
      <c r="BB70">
        <f t="shared" si="33"/>
        <v>0.27272727272727265</v>
      </c>
      <c r="BC70">
        <f t="shared" si="33"/>
        <v>0.59999999999999987</v>
      </c>
      <c r="BD70">
        <f t="shared" si="33"/>
        <v>0.4</v>
      </c>
      <c r="BE70">
        <f t="shared" si="33"/>
        <v>0.40740740740740722</v>
      </c>
      <c r="BF70">
        <f t="shared" si="33"/>
        <v>0.38461538461538458</v>
      </c>
      <c r="BG70">
        <f t="shared" si="33"/>
        <v>0.49999999999999967</v>
      </c>
      <c r="BH70">
        <f t="shared" si="33"/>
        <v>0.5238095238095235</v>
      </c>
      <c r="BI70">
        <f t="shared" si="33"/>
        <v>0.39285714285714263</v>
      </c>
      <c r="BJ70">
        <f t="shared" si="33"/>
        <v>0.59523809523809545</v>
      </c>
      <c r="BK70">
        <f t="shared" si="33"/>
        <v>0.49999999999999956</v>
      </c>
    </row>
    <row r="71" spans="1:63" x14ac:dyDescent="0.3">
      <c r="A71" t="s">
        <v>53</v>
      </c>
      <c r="B71">
        <f>B61/B62</f>
        <v>0.2857142857142857</v>
      </c>
      <c r="C71">
        <f t="shared" ref="C71:BK71" si="34">C61/C62</f>
        <v>0.18884120171673832</v>
      </c>
      <c r="D71">
        <f t="shared" si="34"/>
        <v>0.12903225806451615</v>
      </c>
      <c r="E71" s="15" t="e">
        <f t="shared" si="34"/>
        <v>#DIV/0!</v>
      </c>
      <c r="F71" s="15" t="e">
        <f t="shared" si="34"/>
        <v>#DIV/0!</v>
      </c>
      <c r="G71">
        <f t="shared" si="34"/>
        <v>0.13333333333333341</v>
      </c>
      <c r="H71">
        <f t="shared" si="34"/>
        <v>8.8404569396989E-17</v>
      </c>
      <c r="I71">
        <f t="shared" si="34"/>
        <v>1.9592235099651235E-16</v>
      </c>
      <c r="J71">
        <f t="shared" si="34"/>
        <v>5.000000000000019E-2</v>
      </c>
      <c r="K71">
        <f t="shared" si="34"/>
        <v>0.54545454545454541</v>
      </c>
      <c r="L71">
        <f t="shared" si="34"/>
        <v>1.3250787023918704E-16</v>
      </c>
      <c r="M71">
        <f t="shared" si="34"/>
        <v>8.3333333333333259E-2</v>
      </c>
      <c r="N71" t="e">
        <f t="shared" si="34"/>
        <v>#DIV/0!</v>
      </c>
      <c r="O71">
        <f t="shared" si="34"/>
        <v>3.0057553594976216E-16</v>
      </c>
      <c r="P71">
        <f t="shared" si="34"/>
        <v>0.13333333333333333</v>
      </c>
      <c r="Q71">
        <f t="shared" si="34"/>
        <v>1.7568181030884868E-16</v>
      </c>
      <c r="R71">
        <f t="shared" si="34"/>
        <v>0.37837837837837818</v>
      </c>
      <c r="S71">
        <f t="shared" si="34"/>
        <v>0.19354838709677419</v>
      </c>
      <c r="T71">
        <f t="shared" si="34"/>
        <v>0.125</v>
      </c>
      <c r="U71">
        <f t="shared" si="34"/>
        <v>0.18428184281842822</v>
      </c>
      <c r="V71">
        <f t="shared" si="34"/>
        <v>0.22222222222222213</v>
      </c>
      <c r="W71">
        <f t="shared" si="34"/>
        <v>0.13333333333333336</v>
      </c>
      <c r="X71">
        <f t="shared" si="34"/>
        <v>5.2631578947368363E-2</v>
      </c>
      <c r="Y71">
        <f t="shared" si="34"/>
        <v>0.25000000000000017</v>
      </c>
      <c r="Z71">
        <f t="shared" si="34"/>
        <v>1.3913326375114635E-16</v>
      </c>
      <c r="AA71">
        <f t="shared" si="34"/>
        <v>0.1785714285714286</v>
      </c>
      <c r="AB71">
        <f t="shared" si="34"/>
        <v>0.33333333333333326</v>
      </c>
      <c r="AC71">
        <f t="shared" si="34"/>
        <v>0.39999999999999997</v>
      </c>
      <c r="AD71" t="e">
        <f t="shared" si="34"/>
        <v>#DIV/0!</v>
      </c>
      <c r="AE71">
        <f t="shared" si="34"/>
        <v>0.24</v>
      </c>
      <c r="AF71">
        <f t="shared" si="34"/>
        <v>1.1264158808893863E-16</v>
      </c>
      <c r="AG71">
        <f t="shared" si="34"/>
        <v>0.3333333333333332</v>
      </c>
      <c r="AH71">
        <f t="shared" si="34"/>
        <v>0.2307692307692307</v>
      </c>
      <c r="AI71">
        <f t="shared" si="34"/>
        <v>0.28571428571428564</v>
      </c>
      <c r="AJ71">
        <f t="shared" si="34"/>
        <v>0.10000000000000012</v>
      </c>
      <c r="AK71">
        <f t="shared" si="34"/>
        <v>7.4866310160427704E-2</v>
      </c>
      <c r="AL71">
        <f t="shared" si="34"/>
        <v>3.4842953127240529E-16</v>
      </c>
      <c r="AM71">
        <f t="shared" si="34"/>
        <v>7.9504722143512202E-17</v>
      </c>
      <c r="AN71">
        <f t="shared" si="34"/>
        <v>0.19999999999999996</v>
      </c>
      <c r="AO71">
        <f t="shared" si="34"/>
        <v>0.79411764705882371</v>
      </c>
      <c r="AP71">
        <f t="shared" si="34"/>
        <v>0.18892508143322478</v>
      </c>
      <c r="AQ71">
        <f t="shared" si="34"/>
        <v>0.33333333333333309</v>
      </c>
      <c r="AR71">
        <f t="shared" si="34"/>
        <v>0.4</v>
      </c>
      <c r="AS71">
        <f t="shared" si="34"/>
        <v>0.12765957446808487</v>
      </c>
      <c r="AT71" t="e">
        <f t="shared" si="34"/>
        <v>#DIV/0!</v>
      </c>
      <c r="AU71">
        <f t="shared" si="34"/>
        <v>7.6923076923076997E-2</v>
      </c>
      <c r="AV71">
        <f t="shared" si="34"/>
        <v>0.28571428571428564</v>
      </c>
      <c r="AW71">
        <f t="shared" si="34"/>
        <v>0.24999999999999994</v>
      </c>
      <c r="AX71">
        <f t="shared" si="34"/>
        <v>0.1999999999999999</v>
      </c>
      <c r="AY71">
        <f t="shared" si="34"/>
        <v>0.12500000000000008</v>
      </c>
      <c r="AZ71">
        <f t="shared" si="34"/>
        <v>0.36363636363636337</v>
      </c>
      <c r="BA71">
        <f t="shared" si="34"/>
        <v>0.25641025641025639</v>
      </c>
      <c r="BB71">
        <f t="shared" si="34"/>
        <v>0.18181818181818185</v>
      </c>
      <c r="BC71">
        <f t="shared" si="34"/>
        <v>8.0000000000000099E-2</v>
      </c>
      <c r="BD71">
        <f t="shared" si="34"/>
        <v>0.4</v>
      </c>
      <c r="BE71">
        <f t="shared" si="34"/>
        <v>7.4074074074074209E-2</v>
      </c>
      <c r="BF71">
        <f t="shared" si="34"/>
        <v>0.30769230769230765</v>
      </c>
      <c r="BG71">
        <f t="shared" si="34"/>
        <v>0.12499999999999974</v>
      </c>
      <c r="BH71">
        <f t="shared" si="34"/>
        <v>0.19047619047619049</v>
      </c>
      <c r="BI71">
        <f t="shared" si="34"/>
        <v>7.1428571428571161E-2</v>
      </c>
      <c r="BJ71">
        <f t="shared" si="34"/>
        <v>0.23809523809523808</v>
      </c>
      <c r="BK71">
        <f t="shared" si="34"/>
        <v>1.4576360645592037E-16</v>
      </c>
    </row>
    <row r="73" spans="1:63" x14ac:dyDescent="0.3">
      <c r="A73" t="s">
        <v>70</v>
      </c>
      <c r="B73">
        <f>MAX(B68:B71)</f>
        <v>0.2857142857142857</v>
      </c>
      <c r="C73">
        <f t="shared" ref="C73:BK73" si="35">MAX(C68:C71)</f>
        <v>0.51931330472102999</v>
      </c>
      <c r="D73">
        <f t="shared" si="35"/>
        <v>0.45161290322580616</v>
      </c>
      <c r="E73" t="e">
        <f t="shared" si="35"/>
        <v>#DIV/0!</v>
      </c>
      <c r="F73" t="e">
        <f t="shared" si="35"/>
        <v>#DIV/0!</v>
      </c>
      <c r="G73">
        <f t="shared" si="35"/>
        <v>0.3666666666666667</v>
      </c>
      <c r="H73">
        <f t="shared" si="35"/>
        <v>0.66666666666666652</v>
      </c>
      <c r="I73">
        <f t="shared" si="35"/>
        <v>0.64285714285714302</v>
      </c>
      <c r="J73">
        <f t="shared" si="35"/>
        <v>0.3625000000000001</v>
      </c>
      <c r="K73">
        <f t="shared" si="35"/>
        <v>0.54545454545454541</v>
      </c>
      <c r="L73">
        <f t="shared" si="35"/>
        <v>0.49999999999999994</v>
      </c>
      <c r="M73">
        <f t="shared" si="35"/>
        <v>0.75</v>
      </c>
      <c r="N73" t="e">
        <f t="shared" si="35"/>
        <v>#DIV/0!</v>
      </c>
      <c r="O73">
        <f t="shared" si="35"/>
        <v>0.49999999999999961</v>
      </c>
      <c r="P73">
        <f t="shared" si="35"/>
        <v>0.6</v>
      </c>
      <c r="Q73">
        <f t="shared" si="35"/>
        <v>0.49999999999999956</v>
      </c>
      <c r="R73">
        <f t="shared" si="35"/>
        <v>0.37837837837837845</v>
      </c>
      <c r="S73">
        <f t="shared" si="35"/>
        <v>0.33870967741935482</v>
      </c>
      <c r="T73">
        <f t="shared" si="35"/>
        <v>0.49999999999999967</v>
      </c>
      <c r="U73">
        <f t="shared" si="35"/>
        <v>0.39159891598915991</v>
      </c>
      <c r="V73">
        <f t="shared" si="35"/>
        <v>0.40740740740740716</v>
      </c>
      <c r="W73">
        <f t="shared" si="35"/>
        <v>0.33333333333333331</v>
      </c>
      <c r="X73">
        <f t="shared" si="35"/>
        <v>0.36842105263157893</v>
      </c>
      <c r="Y73">
        <f t="shared" si="35"/>
        <v>0.625</v>
      </c>
      <c r="Z73">
        <f t="shared" si="35"/>
        <v>0.99999999999999989</v>
      </c>
      <c r="AA73">
        <f t="shared" si="35"/>
        <v>0.3482142857142857</v>
      </c>
      <c r="AB73">
        <f t="shared" si="35"/>
        <v>0.33333333333333337</v>
      </c>
      <c r="AC73">
        <f t="shared" si="35"/>
        <v>0.45</v>
      </c>
      <c r="AD73" t="e">
        <f t="shared" si="35"/>
        <v>#DIV/0!</v>
      </c>
      <c r="AE73">
        <f t="shared" si="35"/>
        <v>0.35999999999999982</v>
      </c>
      <c r="AF73">
        <f t="shared" si="35"/>
        <v>0.99999999999999978</v>
      </c>
      <c r="AG73">
        <f t="shared" si="35"/>
        <v>0.49999999999999978</v>
      </c>
      <c r="AH73">
        <f t="shared" si="35"/>
        <v>0.38461538461538441</v>
      </c>
      <c r="AI73">
        <f t="shared" si="35"/>
        <v>0.2857142857142857</v>
      </c>
      <c r="AJ73">
        <f t="shared" si="35"/>
        <v>0.44999999999999973</v>
      </c>
      <c r="AK73">
        <f t="shared" si="35"/>
        <v>0.78609625668449257</v>
      </c>
      <c r="AL73">
        <f t="shared" si="35"/>
        <v>0.99999999999999911</v>
      </c>
      <c r="AM73">
        <f t="shared" si="35"/>
        <v>0.99999999999999989</v>
      </c>
      <c r="AN73">
        <f t="shared" si="35"/>
        <v>0.60000000000000009</v>
      </c>
      <c r="AO73">
        <f t="shared" si="35"/>
        <v>0.79411764705882371</v>
      </c>
      <c r="AP73">
        <f t="shared" si="35"/>
        <v>0.43452768729641672</v>
      </c>
      <c r="AQ73">
        <f t="shared" si="35"/>
        <v>0.49999999999999994</v>
      </c>
      <c r="AR73">
        <f t="shared" si="35"/>
        <v>0.44999999999999996</v>
      </c>
      <c r="AS73">
        <f t="shared" si="35"/>
        <v>0.47872340425531923</v>
      </c>
      <c r="AT73" t="e">
        <f t="shared" si="35"/>
        <v>#DIV/0!</v>
      </c>
      <c r="AU73">
        <f t="shared" si="35"/>
        <v>0.76923076923076883</v>
      </c>
      <c r="AV73">
        <f t="shared" si="35"/>
        <v>0.28571428571428586</v>
      </c>
      <c r="AW73">
        <f t="shared" si="35"/>
        <v>0.37499999999999967</v>
      </c>
      <c r="AX73">
        <f t="shared" si="35"/>
        <v>0.6</v>
      </c>
      <c r="AY73">
        <f t="shared" si="35"/>
        <v>0.37499999999999989</v>
      </c>
      <c r="AZ73">
        <f t="shared" si="35"/>
        <v>0.36363636363636387</v>
      </c>
      <c r="BA73">
        <f t="shared" si="35"/>
        <v>0.29487179487179488</v>
      </c>
      <c r="BB73">
        <f t="shared" si="35"/>
        <v>0.29545454545454547</v>
      </c>
      <c r="BC73">
        <f t="shared" si="35"/>
        <v>0.59999999999999987</v>
      </c>
      <c r="BD73">
        <f t="shared" si="35"/>
        <v>0.4</v>
      </c>
      <c r="BE73">
        <f t="shared" si="35"/>
        <v>0.40740740740740722</v>
      </c>
      <c r="BF73">
        <f t="shared" si="35"/>
        <v>0.38461538461538458</v>
      </c>
      <c r="BG73">
        <f t="shared" si="35"/>
        <v>0.49999999999999967</v>
      </c>
      <c r="BH73">
        <f t="shared" si="35"/>
        <v>0.5238095238095235</v>
      </c>
      <c r="BI73">
        <f t="shared" si="35"/>
        <v>0.39285714285714263</v>
      </c>
      <c r="BJ73">
        <f t="shared" si="35"/>
        <v>0.59523809523809545</v>
      </c>
      <c r="BK73">
        <f t="shared" si="35"/>
        <v>0.49999999999999956</v>
      </c>
    </row>
    <row r="75" spans="1:63" x14ac:dyDescent="0.3">
      <c r="A75" t="s">
        <v>71</v>
      </c>
    </row>
  </sheetData>
  <conditionalFormatting sqref="B49:BK49">
    <cfRule type="cellIs" dxfId="2" priority="2" operator="greaterThan">
      <formula>1</formula>
    </cfRule>
  </conditionalFormatting>
  <conditionalFormatting sqref="B52:BK52">
    <cfRule type="cellIs" dxfId="1" priority="1" operator="greaterThan">
      <formula>1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01521-787C-4044-9085-0AABE3EA4B70}">
  <dimension ref="A1:D58"/>
  <sheetViews>
    <sheetView workbookViewId="0">
      <selection activeCell="L8" sqref="L8"/>
    </sheetView>
  </sheetViews>
  <sheetFormatPr defaultRowHeight="14.4" x14ac:dyDescent="0.3"/>
  <cols>
    <col min="3" max="4" width="12.44140625" bestFit="1" customWidth="1"/>
  </cols>
  <sheetData>
    <row r="1" spans="1:4" x14ac:dyDescent="0.3">
      <c r="A1" s="21" t="s">
        <v>3</v>
      </c>
      <c r="C1" s="22" t="s">
        <v>86</v>
      </c>
      <c r="D1" t="s">
        <v>89</v>
      </c>
    </row>
    <row r="2" spans="1:4" x14ac:dyDescent="0.3">
      <c r="A2">
        <v>11.95</v>
      </c>
      <c r="C2" s="23">
        <v>8.9499999999999993</v>
      </c>
      <c r="D2" s="24">
        <v>22</v>
      </c>
    </row>
    <row r="3" spans="1:4" x14ac:dyDescent="0.3">
      <c r="A3">
        <v>8.9499999999999993</v>
      </c>
      <c r="C3" s="23">
        <v>11.95</v>
      </c>
      <c r="D3" s="24">
        <v>35</v>
      </c>
    </row>
    <row r="4" spans="1:4" x14ac:dyDescent="0.3">
      <c r="A4">
        <v>11.95</v>
      </c>
      <c r="C4" s="23" t="s">
        <v>87</v>
      </c>
      <c r="D4" s="24">
        <v>57</v>
      </c>
    </row>
    <row r="5" spans="1:4" x14ac:dyDescent="0.3">
      <c r="A5">
        <v>11.95</v>
      </c>
    </row>
    <row r="6" spans="1:4" x14ac:dyDescent="0.3">
      <c r="A6">
        <v>11.95</v>
      </c>
    </row>
    <row r="7" spans="1:4" x14ac:dyDescent="0.3">
      <c r="A7">
        <v>8.9499999999999993</v>
      </c>
    </row>
    <row r="8" spans="1:4" x14ac:dyDescent="0.3">
      <c r="A8">
        <v>11.95</v>
      </c>
    </row>
    <row r="9" spans="1:4" x14ac:dyDescent="0.3">
      <c r="A9">
        <v>8.9499999999999993</v>
      </c>
    </row>
    <row r="10" spans="1:4" x14ac:dyDescent="0.3">
      <c r="A10">
        <v>11.95</v>
      </c>
    </row>
    <row r="11" spans="1:4" x14ac:dyDescent="0.3">
      <c r="A11">
        <v>11.95</v>
      </c>
    </row>
    <row r="12" spans="1:4" x14ac:dyDescent="0.3">
      <c r="A12">
        <v>11.95</v>
      </c>
    </row>
    <row r="13" spans="1:4" x14ac:dyDescent="0.3">
      <c r="A13">
        <v>11.95</v>
      </c>
    </row>
    <row r="14" spans="1:4" x14ac:dyDescent="0.3">
      <c r="A14">
        <v>11.95</v>
      </c>
    </row>
    <row r="15" spans="1:4" x14ac:dyDescent="0.3">
      <c r="A15">
        <v>11.95</v>
      </c>
    </row>
    <row r="16" spans="1:4" x14ac:dyDescent="0.3">
      <c r="A16">
        <v>11.95</v>
      </c>
    </row>
    <row r="17" spans="1:1" x14ac:dyDescent="0.3">
      <c r="A17">
        <v>11.95</v>
      </c>
    </row>
    <row r="18" spans="1:1" x14ac:dyDescent="0.3">
      <c r="A18">
        <v>8.9499999999999993</v>
      </c>
    </row>
    <row r="19" spans="1:1" x14ac:dyDescent="0.3">
      <c r="A19">
        <v>11.95</v>
      </c>
    </row>
    <row r="20" spans="1:1" x14ac:dyDescent="0.3">
      <c r="A20">
        <v>11.95</v>
      </c>
    </row>
    <row r="21" spans="1:1" x14ac:dyDescent="0.3">
      <c r="A21">
        <v>11.95</v>
      </c>
    </row>
    <row r="22" spans="1:1" x14ac:dyDescent="0.3">
      <c r="A22">
        <v>8.9499999999999993</v>
      </c>
    </row>
    <row r="23" spans="1:1" x14ac:dyDescent="0.3">
      <c r="A23">
        <v>8.9499999999999993</v>
      </c>
    </row>
    <row r="24" spans="1:1" x14ac:dyDescent="0.3">
      <c r="A24">
        <v>11.95</v>
      </c>
    </row>
    <row r="25" spans="1:1" x14ac:dyDescent="0.3">
      <c r="A25">
        <v>8.9499999999999993</v>
      </c>
    </row>
    <row r="26" spans="1:1" x14ac:dyDescent="0.3">
      <c r="A26">
        <v>8.9499999999999993</v>
      </c>
    </row>
    <row r="27" spans="1:1" x14ac:dyDescent="0.3">
      <c r="A27">
        <v>11.95</v>
      </c>
    </row>
    <row r="28" spans="1:1" x14ac:dyDescent="0.3">
      <c r="A28">
        <v>11.95</v>
      </c>
    </row>
    <row r="29" spans="1:1" x14ac:dyDescent="0.3">
      <c r="A29">
        <v>11.95</v>
      </c>
    </row>
    <row r="30" spans="1:1" x14ac:dyDescent="0.3">
      <c r="A30">
        <v>11.95</v>
      </c>
    </row>
    <row r="31" spans="1:1" x14ac:dyDescent="0.3">
      <c r="A31">
        <v>11.95</v>
      </c>
    </row>
    <row r="32" spans="1:1" x14ac:dyDescent="0.3">
      <c r="A32">
        <v>11.95</v>
      </c>
    </row>
    <row r="33" spans="1:1" x14ac:dyDescent="0.3">
      <c r="A33">
        <v>8.9499999999999993</v>
      </c>
    </row>
    <row r="34" spans="1:1" x14ac:dyDescent="0.3">
      <c r="A34">
        <v>8.9499999999999993</v>
      </c>
    </row>
    <row r="35" spans="1:1" x14ac:dyDescent="0.3">
      <c r="A35">
        <v>8.9499999999999993</v>
      </c>
    </row>
    <row r="36" spans="1:1" x14ac:dyDescent="0.3">
      <c r="A36">
        <v>8.9499999999999993</v>
      </c>
    </row>
    <row r="37" spans="1:1" x14ac:dyDescent="0.3">
      <c r="A37">
        <v>11.95</v>
      </c>
    </row>
    <row r="38" spans="1:1" x14ac:dyDescent="0.3">
      <c r="A38">
        <v>8.9499999999999993</v>
      </c>
    </row>
    <row r="39" spans="1:1" x14ac:dyDescent="0.3">
      <c r="A39">
        <v>11.95</v>
      </c>
    </row>
    <row r="40" spans="1:1" x14ac:dyDescent="0.3">
      <c r="A40">
        <v>8.9499999999999993</v>
      </c>
    </row>
    <row r="41" spans="1:1" x14ac:dyDescent="0.3">
      <c r="A41">
        <v>8.9499999999999993</v>
      </c>
    </row>
    <row r="42" spans="1:1" x14ac:dyDescent="0.3">
      <c r="A42">
        <v>11.95</v>
      </c>
    </row>
    <row r="43" spans="1:1" x14ac:dyDescent="0.3">
      <c r="A43">
        <v>8.9499999999999993</v>
      </c>
    </row>
    <row r="44" spans="1:1" x14ac:dyDescent="0.3">
      <c r="A44">
        <v>11.95</v>
      </c>
    </row>
    <row r="45" spans="1:1" x14ac:dyDescent="0.3">
      <c r="A45">
        <v>11.95</v>
      </c>
    </row>
    <row r="46" spans="1:1" x14ac:dyDescent="0.3">
      <c r="A46">
        <v>8.9499999999999993</v>
      </c>
    </row>
    <row r="47" spans="1:1" x14ac:dyDescent="0.3">
      <c r="A47">
        <v>11.95</v>
      </c>
    </row>
    <row r="48" spans="1:1" x14ac:dyDescent="0.3">
      <c r="A48">
        <v>11.95</v>
      </c>
    </row>
    <row r="49" spans="1:1" x14ac:dyDescent="0.3">
      <c r="A49">
        <v>11.95</v>
      </c>
    </row>
    <row r="50" spans="1:1" x14ac:dyDescent="0.3">
      <c r="A50">
        <v>8.9499999999999993</v>
      </c>
    </row>
    <row r="51" spans="1:1" x14ac:dyDescent="0.3">
      <c r="A51">
        <v>8.9499999999999993</v>
      </c>
    </row>
    <row r="52" spans="1:1" x14ac:dyDescent="0.3">
      <c r="A52">
        <v>11.95</v>
      </c>
    </row>
    <row r="53" spans="1:1" x14ac:dyDescent="0.3">
      <c r="A53">
        <v>8.9499999999999993</v>
      </c>
    </row>
    <row r="54" spans="1:1" x14ac:dyDescent="0.3">
      <c r="A54">
        <v>8.9499999999999993</v>
      </c>
    </row>
    <row r="55" spans="1:1" x14ac:dyDescent="0.3">
      <c r="A55">
        <v>11.95</v>
      </c>
    </row>
    <row r="56" spans="1:1" x14ac:dyDescent="0.3">
      <c r="A56">
        <v>11.95</v>
      </c>
    </row>
    <row r="57" spans="1:1" x14ac:dyDescent="0.3">
      <c r="A57">
        <v>8.9499999999999993</v>
      </c>
    </row>
    <row r="58" spans="1:1" x14ac:dyDescent="0.3">
      <c r="A58">
        <v>11.95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2214C-C421-42E9-9F3B-187975D8E87C}">
  <dimension ref="A3:S79"/>
  <sheetViews>
    <sheetView topLeftCell="B16" workbookViewId="0">
      <selection activeCell="S13" sqref="S13"/>
    </sheetView>
  </sheetViews>
  <sheetFormatPr defaultColWidth="8.77734375" defaultRowHeight="14.4" x14ac:dyDescent="0.3"/>
  <cols>
    <col min="1" max="1" width="15" customWidth="1"/>
    <col min="2" max="2" width="14.44140625" customWidth="1"/>
    <col min="3" max="3" width="15.6640625" customWidth="1"/>
    <col min="8" max="8" width="14.109375" customWidth="1"/>
    <col min="9" max="9" width="12.109375" customWidth="1"/>
    <col min="10" max="10" width="12.6640625" customWidth="1"/>
    <col min="19" max="19" width="68.6640625" bestFit="1" customWidth="1"/>
  </cols>
  <sheetData>
    <row r="3" spans="2:9" x14ac:dyDescent="0.3">
      <c r="B3" s="3" t="s">
        <v>11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9</v>
      </c>
    </row>
    <row r="4" spans="2:9" x14ac:dyDescent="0.3">
      <c r="B4" s="3">
        <v>1</v>
      </c>
      <c r="C4">
        <v>0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</row>
    <row r="5" spans="2:9" x14ac:dyDescent="0.3">
      <c r="B5" s="3">
        <v>2</v>
      </c>
      <c r="C5">
        <v>0</v>
      </c>
      <c r="D5">
        <v>1</v>
      </c>
      <c r="E5">
        <v>1</v>
      </c>
      <c r="F5">
        <v>0</v>
      </c>
      <c r="G5">
        <v>0</v>
      </c>
      <c r="H5">
        <v>1</v>
      </c>
      <c r="I5">
        <v>0</v>
      </c>
    </row>
    <row r="6" spans="2:9" x14ac:dyDescent="0.3">
      <c r="B6" s="3">
        <v>3</v>
      </c>
      <c r="C6">
        <v>0</v>
      </c>
      <c r="D6">
        <v>1</v>
      </c>
      <c r="E6">
        <v>0</v>
      </c>
      <c r="F6">
        <v>1</v>
      </c>
      <c r="G6">
        <v>0</v>
      </c>
      <c r="H6">
        <v>0</v>
      </c>
      <c r="I6">
        <v>0</v>
      </c>
    </row>
    <row r="7" spans="2:9" x14ac:dyDescent="0.3">
      <c r="B7" s="3">
        <v>4</v>
      </c>
      <c r="C7">
        <v>0</v>
      </c>
      <c r="D7">
        <v>1</v>
      </c>
      <c r="E7">
        <v>0</v>
      </c>
      <c r="F7">
        <v>0</v>
      </c>
      <c r="G7">
        <v>1</v>
      </c>
      <c r="H7">
        <v>0</v>
      </c>
      <c r="I7">
        <v>1</v>
      </c>
    </row>
    <row r="8" spans="2:9" x14ac:dyDescent="0.3">
      <c r="B8" s="3">
        <v>5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</v>
      </c>
    </row>
    <row r="9" spans="2:9" x14ac:dyDescent="0.3">
      <c r="B9" s="3">
        <v>6</v>
      </c>
      <c r="C9">
        <v>1</v>
      </c>
      <c r="D9">
        <v>0</v>
      </c>
      <c r="E9">
        <v>0</v>
      </c>
      <c r="F9">
        <v>1</v>
      </c>
      <c r="G9">
        <v>0</v>
      </c>
      <c r="H9">
        <v>0</v>
      </c>
      <c r="I9">
        <v>1</v>
      </c>
    </row>
    <row r="10" spans="2:9" x14ac:dyDescent="0.3">
      <c r="B10" s="3">
        <v>7</v>
      </c>
      <c r="C10">
        <v>1</v>
      </c>
      <c r="D10">
        <v>0</v>
      </c>
      <c r="E10">
        <v>0</v>
      </c>
      <c r="F10">
        <v>0</v>
      </c>
      <c r="G10">
        <v>0</v>
      </c>
      <c r="H10">
        <v>1</v>
      </c>
      <c r="I10">
        <v>0</v>
      </c>
    </row>
    <row r="11" spans="2:9" x14ac:dyDescent="0.3">
      <c r="B11" s="3">
        <v>8</v>
      </c>
      <c r="C11">
        <v>1</v>
      </c>
      <c r="D11">
        <v>0</v>
      </c>
      <c r="E11">
        <v>0</v>
      </c>
      <c r="F11">
        <v>0</v>
      </c>
      <c r="G11">
        <v>1</v>
      </c>
      <c r="H11">
        <v>0</v>
      </c>
      <c r="I11">
        <v>0</v>
      </c>
    </row>
    <row r="12" spans="2:9" x14ac:dyDescent="0.3">
      <c r="B12" s="3">
        <v>9</v>
      </c>
      <c r="C12">
        <v>1</v>
      </c>
      <c r="D12">
        <v>0</v>
      </c>
      <c r="E12">
        <v>1</v>
      </c>
      <c r="F12">
        <v>0</v>
      </c>
      <c r="G12">
        <v>0</v>
      </c>
      <c r="H12">
        <v>0</v>
      </c>
      <c r="I12">
        <v>0</v>
      </c>
    </row>
    <row r="17" spans="1:19" x14ac:dyDescent="0.3">
      <c r="A17" t="s">
        <v>46</v>
      </c>
      <c r="B17" t="s">
        <v>1</v>
      </c>
      <c r="C17" t="s">
        <v>2</v>
      </c>
      <c r="D17" t="s">
        <v>3</v>
      </c>
      <c r="E17" t="s">
        <v>4</v>
      </c>
      <c r="F17" t="s">
        <v>5</v>
      </c>
      <c r="G17" t="s">
        <v>6</v>
      </c>
      <c r="H17" t="s">
        <v>7</v>
      </c>
      <c r="I17" t="s">
        <v>9</v>
      </c>
      <c r="J17" t="s">
        <v>57</v>
      </c>
      <c r="K17" t="s">
        <v>58</v>
      </c>
      <c r="L17" t="s">
        <v>59</v>
      </c>
      <c r="M17" t="s">
        <v>60</v>
      </c>
      <c r="N17" t="s">
        <v>61</v>
      </c>
      <c r="O17" t="s">
        <v>62</v>
      </c>
      <c r="P17" t="s">
        <v>63</v>
      </c>
      <c r="Q17" t="s">
        <v>64</v>
      </c>
      <c r="R17" t="s">
        <v>65</v>
      </c>
      <c r="S17" t="s">
        <v>73</v>
      </c>
    </row>
    <row r="18" spans="1:19" ht="15" thickBot="1" x14ac:dyDescent="0.35">
      <c r="A18">
        <v>1</v>
      </c>
      <c r="B18">
        <v>6.9999999999999991</v>
      </c>
      <c r="C18">
        <v>-1.1250000000000007</v>
      </c>
      <c r="D18">
        <v>-1.3750000000000004</v>
      </c>
      <c r="E18">
        <v>-0.49999999999999928</v>
      </c>
      <c r="F18">
        <v>0.75000000000000044</v>
      </c>
      <c r="G18">
        <v>0.75000000000000056</v>
      </c>
      <c r="H18">
        <v>0.50000000000000033</v>
      </c>
      <c r="I18" s="4">
        <v>-0.99999999999999989</v>
      </c>
      <c r="J18">
        <f>SUMPRODUCT($C$4:$I$4,C18:I18)+B18</f>
        <v>5.6249999999999982</v>
      </c>
      <c r="K18">
        <f>SUMPRODUCT($C$5:$I$5,C18:I18)+B18</f>
        <v>5.625</v>
      </c>
      <c r="L18">
        <f>SUMPRODUCT($C$6:$I$6,C18:I18)+B18</f>
        <v>6.3749999999999991</v>
      </c>
      <c r="M18">
        <f>SUMPRODUCT($C$7:$I$7,C18:I18)+B18</f>
        <v>5.3749999999999991</v>
      </c>
      <c r="N18">
        <f>SUMPRODUCT($C$8:$I$8,C18:I18)+B18</f>
        <v>5.9999999999999991</v>
      </c>
      <c r="O18">
        <f>SUMPRODUCT($C$9:$I$9,C18:I18)+B18</f>
        <v>5.6249999999999991</v>
      </c>
      <c r="P18">
        <f>SUMPRODUCT($C$10:$I$10,C18:I18)+B18</f>
        <v>6.3749999999999991</v>
      </c>
      <c r="Q18">
        <f>SUMPRODUCT($C$11:$I$11,C18:I18)+B18</f>
        <v>6.6249999999999991</v>
      </c>
      <c r="R18">
        <f>SUMPRODUCT($C$12:$I$12,C18:I18)+B18</f>
        <v>5.3749999999999991</v>
      </c>
      <c r="S18" t="str" cm="1">
        <f t="array" ref="S18">_xlfn.TEXTJOIN(", ", TRUE, _xlfn._xlws.FILTER($J$17:$R$17, J18:R18 = MAX(J18:R18)))</f>
        <v>Profile 8</v>
      </c>
    </row>
    <row r="19" spans="1:19" ht="15" thickBot="1" x14ac:dyDescent="0.35">
      <c r="A19">
        <v>2</v>
      </c>
      <c r="B19">
        <v>5.5000000000000009</v>
      </c>
      <c r="C19">
        <v>0.62500000000000044</v>
      </c>
      <c r="D19">
        <v>1.3749999999999998</v>
      </c>
      <c r="E19">
        <v>0.99999999999999911</v>
      </c>
      <c r="F19">
        <v>-1.7500000000000011</v>
      </c>
      <c r="G19">
        <v>-0.250000000000001</v>
      </c>
      <c r="H19">
        <v>-1.0000000000000007</v>
      </c>
      <c r="I19" s="4">
        <v>-0.49999999999999978</v>
      </c>
      <c r="J19">
        <f t="shared" ref="J19:J79" si="0">SUMPRODUCT($C$4:$I$4,C19:I19)+B19</f>
        <v>6.8750000000000009</v>
      </c>
      <c r="K19">
        <f t="shared" ref="K19:K79" si="1">SUMPRODUCT($C$5:$I$5,C19:I19)+B19</f>
        <v>6.8749999999999991</v>
      </c>
      <c r="L19">
        <f t="shared" ref="L19:L79" si="2">SUMPRODUCT($C$6:$I$6,C19:I19)+B19</f>
        <v>5.125</v>
      </c>
      <c r="M19">
        <f t="shared" ref="M19:M79" si="3">SUMPRODUCT($C$7:$I$7,C19:I19)+B19</f>
        <v>6.125</v>
      </c>
      <c r="N19">
        <f t="shared" ref="N19:N79" si="4">SUMPRODUCT($C$8:$I$8,C19:I19)+B19</f>
        <v>5.0000000000000009</v>
      </c>
      <c r="O19">
        <f t="shared" ref="O19:O79" si="5">SUMPRODUCT($C$9:$I$9,C19:I19)+B19</f>
        <v>3.8750000000000004</v>
      </c>
      <c r="P19">
        <f t="shared" ref="P19:P79" si="6">SUMPRODUCT($C$10:$I$10,C19:I19)+B19</f>
        <v>5.1250000000000009</v>
      </c>
      <c r="Q19">
        <f t="shared" ref="Q19:Q79" si="7">SUMPRODUCT($C$11:$I$11,C19:I19)+B19</f>
        <v>5.875</v>
      </c>
      <c r="R19">
        <f t="shared" ref="R19:R79" si="8">SUMPRODUCT($C$12:$I$12,C19:I19)+B19</f>
        <v>7.125</v>
      </c>
      <c r="S19" t="str" cm="1">
        <f t="array" ref="S19">_xlfn.TEXTJOIN(", ", TRUE, _xlfn._xlws.FILTER($J$17:$R$17, J19:R19 = MAX(J19:R19)))</f>
        <v>Profile 9</v>
      </c>
    </row>
    <row r="20" spans="1:19" x14ac:dyDescent="0.3">
      <c r="A20">
        <v>3</v>
      </c>
      <c r="B20">
        <v>3.5000000000000031</v>
      </c>
      <c r="C20">
        <v>-3.7500000000000027</v>
      </c>
      <c r="D20">
        <v>-2.7500000000000044</v>
      </c>
      <c r="E20">
        <v>4.4999999999999991</v>
      </c>
      <c r="F20">
        <v>4.5</v>
      </c>
      <c r="G20">
        <v>6.9999999999999991</v>
      </c>
      <c r="H20">
        <v>1.5</v>
      </c>
      <c r="I20">
        <v>-0.50000000000000122</v>
      </c>
      <c r="J20">
        <f t="shared" si="0"/>
        <v>0.74999999999999867</v>
      </c>
      <c r="K20">
        <f t="shared" si="1"/>
        <v>6.7499999999999982</v>
      </c>
      <c r="L20">
        <f t="shared" si="2"/>
        <v>5.2499999999999982</v>
      </c>
      <c r="M20">
        <f t="shared" si="3"/>
        <v>7.2499999999999964</v>
      </c>
      <c r="N20">
        <f t="shared" si="4"/>
        <v>3.0000000000000018</v>
      </c>
      <c r="O20">
        <f t="shared" si="5"/>
        <v>3.7499999999999991</v>
      </c>
      <c r="P20">
        <f t="shared" si="6"/>
        <v>1.2500000000000004</v>
      </c>
      <c r="Q20">
        <f t="shared" si="7"/>
        <v>6.75</v>
      </c>
      <c r="R20">
        <f t="shared" si="8"/>
        <v>4.25</v>
      </c>
      <c r="S20" t="str" cm="1">
        <f t="array" ref="S20">_xlfn.TEXTJOIN(", ", TRUE, _xlfn._xlws.FILTER($J$17:$R$17, J20:R20 = MAX(J20:R20)))</f>
        <v>Profile 4</v>
      </c>
    </row>
    <row r="23" spans="1:19" ht="15" thickBot="1" x14ac:dyDescent="0.35">
      <c r="A23">
        <v>6</v>
      </c>
      <c r="B23">
        <v>5</v>
      </c>
      <c r="C23">
        <v>-1.2500000000000009</v>
      </c>
      <c r="D23">
        <v>-2.7500000000000009</v>
      </c>
      <c r="E23">
        <v>1</v>
      </c>
      <c r="F23">
        <v>-1.4999999999999987</v>
      </c>
      <c r="G23">
        <v>-0.49999999999999856</v>
      </c>
      <c r="H23">
        <v>1.0000000000000004</v>
      </c>
      <c r="I23" s="4">
        <v>0.99999999999999956</v>
      </c>
      <c r="J23">
        <f t="shared" si="0"/>
        <v>2.2499999999999991</v>
      </c>
      <c r="K23">
        <f t="shared" si="1"/>
        <v>4.25</v>
      </c>
      <c r="L23">
        <f t="shared" si="2"/>
        <v>0.75</v>
      </c>
      <c r="M23">
        <f t="shared" si="3"/>
        <v>2.75</v>
      </c>
      <c r="N23">
        <f t="shared" si="4"/>
        <v>6</v>
      </c>
      <c r="O23">
        <f t="shared" si="5"/>
        <v>3.25</v>
      </c>
      <c r="P23">
        <f t="shared" si="6"/>
        <v>4.75</v>
      </c>
      <c r="Q23">
        <f t="shared" si="7"/>
        <v>3.2500000000000004</v>
      </c>
      <c r="R23">
        <f t="shared" si="8"/>
        <v>4.7499999999999991</v>
      </c>
      <c r="S23" t="str" cm="1">
        <f t="array" ref="S23">_xlfn.TEXTJOIN(", ", TRUE, _xlfn._xlws.FILTER($J$17:$R$17, J23:R23 = MAX(J23:R23)))</f>
        <v>Profile 5</v>
      </c>
    </row>
    <row r="24" spans="1:19" ht="15" thickBot="1" x14ac:dyDescent="0.35">
      <c r="A24">
        <v>7</v>
      </c>
      <c r="B24">
        <v>3</v>
      </c>
      <c r="C24">
        <v>1.9999999999999996</v>
      </c>
      <c r="D24">
        <v>0</v>
      </c>
      <c r="E24">
        <v>-0.99999999999999933</v>
      </c>
      <c r="F24">
        <v>0.99999999999999978</v>
      </c>
      <c r="G24">
        <v>0.99999999999999922</v>
      </c>
      <c r="H24">
        <v>2.6521370819096691E-16</v>
      </c>
      <c r="I24" s="4">
        <v>0</v>
      </c>
      <c r="J24">
        <f t="shared" si="0"/>
        <v>3</v>
      </c>
      <c r="K24">
        <f t="shared" si="1"/>
        <v>2.0000000000000009</v>
      </c>
      <c r="L24">
        <f t="shared" si="2"/>
        <v>4</v>
      </c>
      <c r="M24">
        <f t="shared" si="3"/>
        <v>3.9999999999999991</v>
      </c>
      <c r="N24">
        <f t="shared" si="4"/>
        <v>3</v>
      </c>
      <c r="O24">
        <f t="shared" si="5"/>
        <v>5.9999999999999991</v>
      </c>
      <c r="P24">
        <f t="shared" si="6"/>
        <v>5</v>
      </c>
      <c r="Q24">
        <f t="shared" si="7"/>
        <v>5.9999999999999982</v>
      </c>
      <c r="R24">
        <f t="shared" si="8"/>
        <v>4</v>
      </c>
      <c r="S24" t="str" cm="1">
        <f t="array" ref="S24">_xlfn.TEXTJOIN(", ", TRUE, _xlfn._xlws.FILTER($J$17:$R$17, J24:R24 = MAX(J24:R24)))</f>
        <v>Profile 6, Profile 8</v>
      </c>
    </row>
    <row r="25" spans="1:19" ht="15" thickBot="1" x14ac:dyDescent="0.35">
      <c r="A25">
        <v>8</v>
      </c>
      <c r="B25">
        <v>5.0000000000000009</v>
      </c>
      <c r="C25">
        <v>0.24999999999999939</v>
      </c>
      <c r="D25">
        <v>0.749999999999999</v>
      </c>
      <c r="E25">
        <v>0.99999999999999911</v>
      </c>
      <c r="F25">
        <v>0.49999999999999972</v>
      </c>
      <c r="G25">
        <v>1.4999999999999993</v>
      </c>
      <c r="H25">
        <v>-3.0499576441961196E-16</v>
      </c>
      <c r="I25" s="4">
        <v>-4.5715215232519518E-16</v>
      </c>
      <c r="J25">
        <f t="shared" si="0"/>
        <v>5.75</v>
      </c>
      <c r="K25">
        <f t="shared" si="1"/>
        <v>6.7499999999999991</v>
      </c>
      <c r="L25">
        <f t="shared" si="2"/>
        <v>6.25</v>
      </c>
      <c r="M25">
        <f t="shared" si="3"/>
        <v>7.2499999999999982</v>
      </c>
      <c r="N25">
        <f t="shared" si="4"/>
        <v>5</v>
      </c>
      <c r="O25">
        <f t="shared" si="5"/>
        <v>5.75</v>
      </c>
      <c r="P25">
        <f t="shared" si="6"/>
        <v>5.25</v>
      </c>
      <c r="Q25">
        <f t="shared" si="7"/>
        <v>6.75</v>
      </c>
      <c r="R25">
        <f t="shared" si="8"/>
        <v>6.2499999999999991</v>
      </c>
      <c r="S25" t="str" cm="1">
        <f t="array" ref="S25">_xlfn.TEXTJOIN(", ", TRUE, _xlfn._xlws.FILTER($J$17:$R$17, J25:R25 = MAX(J25:R25)))</f>
        <v>Profile 4</v>
      </c>
    </row>
    <row r="26" spans="1:19" ht="15" thickBot="1" x14ac:dyDescent="0.35">
      <c r="A26">
        <v>9</v>
      </c>
      <c r="B26">
        <v>6.5000000000000027</v>
      </c>
      <c r="C26">
        <v>-3.6250000000000049</v>
      </c>
      <c r="D26">
        <v>-2.375000000000004</v>
      </c>
      <c r="E26">
        <v>1.0560327403778453E-15</v>
      </c>
      <c r="F26">
        <v>2.7500000000000022</v>
      </c>
      <c r="G26">
        <v>-0.74999999999999778</v>
      </c>
      <c r="H26">
        <v>1.8034532156985753E-15</v>
      </c>
      <c r="I26" s="4">
        <v>-0.50000000000000067</v>
      </c>
      <c r="J26">
        <f t="shared" si="0"/>
        <v>4.1249999999999982</v>
      </c>
      <c r="K26">
        <f t="shared" si="1"/>
        <v>4.1250000000000018</v>
      </c>
      <c r="L26">
        <f t="shared" si="2"/>
        <v>6.8750000000000009</v>
      </c>
      <c r="M26">
        <f t="shared" si="3"/>
        <v>2.875</v>
      </c>
      <c r="N26">
        <f t="shared" si="4"/>
        <v>6.0000000000000018</v>
      </c>
      <c r="O26">
        <f t="shared" si="5"/>
        <v>5.1249999999999991</v>
      </c>
      <c r="P26">
        <f t="shared" si="6"/>
        <v>2.8749999999999996</v>
      </c>
      <c r="Q26">
        <f t="shared" si="7"/>
        <v>2.125</v>
      </c>
      <c r="R26">
        <f t="shared" si="8"/>
        <v>2.8749999999999987</v>
      </c>
      <c r="S26" t="str" cm="1">
        <f t="array" ref="S26">_xlfn.TEXTJOIN(", ", TRUE, _xlfn._xlws.FILTER($J$17:$R$17, J26:R26 = MAX(J26:R26)))</f>
        <v>Profile 3</v>
      </c>
    </row>
    <row r="27" spans="1:19" ht="15" thickBot="1" x14ac:dyDescent="0.35">
      <c r="A27">
        <v>10</v>
      </c>
      <c r="B27">
        <v>5</v>
      </c>
      <c r="C27">
        <v>1.1250000000000002</v>
      </c>
      <c r="D27">
        <v>0.37500000000000017</v>
      </c>
      <c r="E27">
        <v>-0.5</v>
      </c>
      <c r="F27">
        <v>-0.75</v>
      </c>
      <c r="G27">
        <v>-0.75000000000000011</v>
      </c>
      <c r="H27">
        <v>-1.5</v>
      </c>
      <c r="I27" s="4">
        <v>-2.5839034696641466E-16</v>
      </c>
      <c r="J27">
        <f t="shared" si="0"/>
        <v>5.375</v>
      </c>
      <c r="K27">
        <f t="shared" si="1"/>
        <v>3.375</v>
      </c>
      <c r="L27">
        <f t="shared" si="2"/>
        <v>4.625</v>
      </c>
      <c r="M27">
        <f t="shared" si="3"/>
        <v>4.625</v>
      </c>
      <c r="N27">
        <f t="shared" si="4"/>
        <v>5</v>
      </c>
      <c r="O27">
        <f t="shared" si="5"/>
        <v>5.375</v>
      </c>
      <c r="P27">
        <f t="shared" si="6"/>
        <v>4.625</v>
      </c>
      <c r="Q27">
        <f t="shared" si="7"/>
        <v>5.375</v>
      </c>
      <c r="R27">
        <f t="shared" si="8"/>
        <v>5.625</v>
      </c>
      <c r="S27" t="str" cm="1">
        <f t="array" ref="S27">_xlfn.TEXTJOIN(", ", TRUE, _xlfn._xlws.FILTER($J$17:$R$17, J27:R27 = MAX(J27:R27)))</f>
        <v>Profile 9</v>
      </c>
    </row>
    <row r="28" spans="1:19" ht="15" thickBot="1" x14ac:dyDescent="0.35">
      <c r="A28">
        <v>11</v>
      </c>
      <c r="B28">
        <v>4.0000000000000009</v>
      </c>
      <c r="C28">
        <v>-0.24999999999999978</v>
      </c>
      <c r="D28">
        <v>-0.74999999999999978</v>
      </c>
      <c r="E28">
        <v>1.2540388791986914E-16</v>
      </c>
      <c r="F28">
        <v>0.5</v>
      </c>
      <c r="G28">
        <v>0.50000000000000011</v>
      </c>
      <c r="H28">
        <v>7.9564112457290076E-17</v>
      </c>
      <c r="I28" s="4">
        <v>1.9876180535878052E-16</v>
      </c>
      <c r="J28">
        <f t="shared" si="0"/>
        <v>3.2500000000000009</v>
      </c>
      <c r="K28">
        <f t="shared" si="1"/>
        <v>3.2500000000000013</v>
      </c>
      <c r="L28">
        <f t="shared" si="2"/>
        <v>3.7500000000000009</v>
      </c>
      <c r="M28">
        <f t="shared" si="3"/>
        <v>3.7500000000000013</v>
      </c>
      <c r="N28">
        <f t="shared" si="4"/>
        <v>4.0000000000000009</v>
      </c>
      <c r="O28">
        <f t="shared" si="5"/>
        <v>4.2500000000000018</v>
      </c>
      <c r="P28">
        <f t="shared" si="6"/>
        <v>3.7500000000000013</v>
      </c>
      <c r="Q28">
        <f t="shared" si="7"/>
        <v>4.2500000000000009</v>
      </c>
      <c r="R28">
        <f t="shared" si="8"/>
        <v>3.7500000000000013</v>
      </c>
      <c r="S28" t="str" cm="1">
        <f t="array" ref="S28">_xlfn.TEXTJOIN(", ", TRUE, _xlfn._xlws.FILTER($J$17:$R$17, J28:R28 = MAX(J28:R28)))</f>
        <v>Profile 6, Profile 8</v>
      </c>
    </row>
    <row r="29" spans="1:19" x14ac:dyDescent="0.3">
      <c r="A29">
        <v>12</v>
      </c>
      <c r="B29">
        <v>7.5</v>
      </c>
      <c r="C29">
        <v>-0.62499999999999989</v>
      </c>
      <c r="D29">
        <v>-0.37499999999999978</v>
      </c>
      <c r="E29">
        <v>3.9601227764169198E-16</v>
      </c>
      <c r="F29">
        <v>-4.2500000000000009</v>
      </c>
      <c r="G29">
        <v>0.24999999999999992</v>
      </c>
      <c r="H29">
        <v>4.3760261851509544E-16</v>
      </c>
      <c r="I29">
        <v>-0.49999999999999911</v>
      </c>
      <c r="J29">
        <f t="shared" si="0"/>
        <v>7.125</v>
      </c>
      <c r="K29">
        <f t="shared" si="1"/>
        <v>7.1250000000000009</v>
      </c>
      <c r="L29">
        <f t="shared" si="2"/>
        <v>2.8749999999999991</v>
      </c>
      <c r="M29">
        <f t="shared" si="3"/>
        <v>6.8750000000000009</v>
      </c>
      <c r="N29">
        <f t="shared" si="4"/>
        <v>7.0000000000000009</v>
      </c>
      <c r="O29">
        <f t="shared" si="5"/>
        <v>2.125</v>
      </c>
      <c r="P29">
        <f t="shared" si="6"/>
        <v>6.8750000000000009</v>
      </c>
      <c r="Q29">
        <f t="shared" si="7"/>
        <v>7.125</v>
      </c>
      <c r="R29">
        <f t="shared" si="8"/>
        <v>6.8750000000000009</v>
      </c>
      <c r="S29" t="str" cm="1">
        <f t="array" ref="S29">_xlfn.TEXTJOIN(", ", TRUE, _xlfn._xlws.FILTER($J$17:$R$17, J29:R29 = MAX(J29:R29)))</f>
        <v>Profile 1, Profile 2, Profile 8</v>
      </c>
    </row>
    <row r="31" spans="1:19" ht="15" thickBot="1" x14ac:dyDescent="0.35">
      <c r="A31">
        <v>14</v>
      </c>
      <c r="B31">
        <v>7.0000000000000009</v>
      </c>
      <c r="C31">
        <v>-1.500000000000002</v>
      </c>
      <c r="D31">
        <v>-4.5000000000000018</v>
      </c>
      <c r="E31">
        <v>1.7952556586423372E-15</v>
      </c>
      <c r="F31">
        <v>3.0000000000000022</v>
      </c>
      <c r="G31">
        <v>3.0000000000000027</v>
      </c>
      <c r="H31">
        <v>2.7051798235478628E-15</v>
      </c>
      <c r="I31" s="4">
        <v>3.1801888857404881E-16</v>
      </c>
      <c r="J31">
        <f t="shared" si="0"/>
        <v>2.4999999999999991</v>
      </c>
      <c r="K31">
        <f t="shared" si="1"/>
        <v>2.5000000000000036</v>
      </c>
      <c r="L31">
        <f t="shared" si="2"/>
        <v>5.5000000000000018</v>
      </c>
      <c r="M31">
        <f t="shared" si="3"/>
        <v>5.5000000000000018</v>
      </c>
      <c r="N31">
        <f t="shared" si="4"/>
        <v>7.0000000000000009</v>
      </c>
      <c r="O31">
        <f t="shared" si="5"/>
        <v>8.5000000000000018</v>
      </c>
      <c r="P31">
        <f t="shared" si="6"/>
        <v>5.5000000000000018</v>
      </c>
      <c r="Q31">
        <f t="shared" si="7"/>
        <v>8.5000000000000018</v>
      </c>
      <c r="R31">
        <f t="shared" si="8"/>
        <v>5.5000000000000009</v>
      </c>
      <c r="S31" t="str" cm="1">
        <f t="array" ref="S31">_xlfn.TEXTJOIN(", ", TRUE, _xlfn._xlws.FILTER($J$17:$R$17, J31:R31 = MAX(J31:R31)))</f>
        <v>Profile 6, Profile 8</v>
      </c>
    </row>
    <row r="32" spans="1:19" ht="15" thickBot="1" x14ac:dyDescent="0.35">
      <c r="A32">
        <v>15</v>
      </c>
      <c r="B32">
        <v>5.5</v>
      </c>
      <c r="C32">
        <v>-0.62499999999999978</v>
      </c>
      <c r="D32">
        <v>-0.37500000000000039</v>
      </c>
      <c r="E32">
        <v>0.99999999999999956</v>
      </c>
      <c r="F32">
        <v>0.74999999999999967</v>
      </c>
      <c r="G32">
        <v>2.25</v>
      </c>
      <c r="H32">
        <v>-2.2543165196232192E-16</v>
      </c>
      <c r="I32" s="4">
        <v>-0.5</v>
      </c>
      <c r="J32">
        <f t="shared" si="0"/>
        <v>5.125</v>
      </c>
      <c r="K32">
        <f t="shared" si="1"/>
        <v>6.1249999999999991</v>
      </c>
      <c r="L32">
        <f t="shared" si="2"/>
        <v>5.8749999999999991</v>
      </c>
      <c r="M32">
        <f t="shared" si="3"/>
        <v>6.875</v>
      </c>
      <c r="N32">
        <f t="shared" si="4"/>
        <v>5</v>
      </c>
      <c r="O32">
        <f t="shared" si="5"/>
        <v>5.125</v>
      </c>
      <c r="P32">
        <f t="shared" si="6"/>
        <v>4.875</v>
      </c>
      <c r="Q32">
        <f t="shared" si="7"/>
        <v>7.125</v>
      </c>
      <c r="R32">
        <f t="shared" si="8"/>
        <v>5.875</v>
      </c>
      <c r="S32" t="str" cm="1">
        <f t="array" ref="S32">_xlfn.TEXTJOIN(", ", TRUE, _xlfn._xlws.FILTER($J$17:$R$17, J32:R32 = MAX(J32:R32)))</f>
        <v>Profile 8</v>
      </c>
    </row>
    <row r="33" spans="1:19" ht="15" thickBot="1" x14ac:dyDescent="0.35">
      <c r="A33">
        <v>16</v>
      </c>
      <c r="B33">
        <v>4.0000000000000027</v>
      </c>
      <c r="C33">
        <v>-1.5000000000000024</v>
      </c>
      <c r="D33">
        <v>-2.5000000000000031</v>
      </c>
      <c r="E33">
        <v>4</v>
      </c>
      <c r="F33">
        <v>3.0000000000000009</v>
      </c>
      <c r="G33">
        <v>4.0000000000000009</v>
      </c>
      <c r="H33">
        <v>1.1669403160402544E-15</v>
      </c>
      <c r="I33" s="4">
        <v>-2.3851416643053663E-16</v>
      </c>
      <c r="J33">
        <f t="shared" si="0"/>
        <v>1.4999999999999996</v>
      </c>
      <c r="K33">
        <f t="shared" si="1"/>
        <v>5.5000000000000009</v>
      </c>
      <c r="L33">
        <f t="shared" si="2"/>
        <v>4.5</v>
      </c>
      <c r="M33">
        <f t="shared" si="3"/>
        <v>5.5</v>
      </c>
      <c r="N33">
        <f t="shared" si="4"/>
        <v>4.0000000000000027</v>
      </c>
      <c r="O33">
        <f t="shared" si="5"/>
        <v>5.5000000000000009</v>
      </c>
      <c r="P33">
        <f t="shared" si="6"/>
        <v>2.5000000000000013</v>
      </c>
      <c r="Q33">
        <f t="shared" si="7"/>
        <v>6.5000000000000009</v>
      </c>
      <c r="R33">
        <f t="shared" si="8"/>
        <v>6.5</v>
      </c>
      <c r="S33" t="str" cm="1">
        <f t="array" ref="S33">_xlfn.TEXTJOIN(", ", TRUE, _xlfn._xlws.FILTER($J$17:$R$17, J33:R33 = MAX(J33:R33)))</f>
        <v>Profile 8, Profile 9</v>
      </c>
    </row>
    <row r="34" spans="1:19" ht="15" thickBot="1" x14ac:dyDescent="0.35">
      <c r="A34">
        <v>17</v>
      </c>
      <c r="B34">
        <v>4.4999999999999982</v>
      </c>
      <c r="C34">
        <v>1.1249999999999996</v>
      </c>
      <c r="D34">
        <v>-1.1250000000000004</v>
      </c>
      <c r="E34">
        <v>1.0000000000000007</v>
      </c>
      <c r="F34">
        <v>-0.749999999999999</v>
      </c>
      <c r="G34">
        <v>1.7500000000000018</v>
      </c>
      <c r="H34">
        <v>-1.9999999999999987</v>
      </c>
      <c r="I34" s="4">
        <v>0.50000000000000044</v>
      </c>
      <c r="J34">
        <f t="shared" si="0"/>
        <v>3.3749999999999978</v>
      </c>
      <c r="K34">
        <f t="shared" si="1"/>
        <v>2.375</v>
      </c>
      <c r="L34">
        <f t="shared" si="2"/>
        <v>2.6249999999999987</v>
      </c>
      <c r="M34">
        <f t="shared" si="3"/>
        <v>5.625</v>
      </c>
      <c r="N34">
        <f t="shared" si="4"/>
        <v>4.9999999999999982</v>
      </c>
      <c r="O34">
        <f t="shared" si="5"/>
        <v>5.3749999999999991</v>
      </c>
      <c r="P34">
        <f t="shared" si="6"/>
        <v>3.6249999999999991</v>
      </c>
      <c r="Q34">
        <f t="shared" si="7"/>
        <v>7.375</v>
      </c>
      <c r="R34">
        <f t="shared" si="8"/>
        <v>6.6249999999999982</v>
      </c>
      <c r="S34" t="str" cm="1">
        <f t="array" ref="S34">_xlfn.TEXTJOIN(", ", TRUE, _xlfn._xlws.FILTER($J$17:$R$17, J34:R34 = MAX(J34:R34)))</f>
        <v>Profile 8</v>
      </c>
    </row>
    <row r="35" spans="1:19" ht="15" thickBot="1" x14ac:dyDescent="0.35">
      <c r="A35">
        <v>18</v>
      </c>
      <c r="B35">
        <v>7.4999999999999991</v>
      </c>
      <c r="C35">
        <v>-2.625</v>
      </c>
      <c r="D35">
        <v>-1.3750000000000002</v>
      </c>
      <c r="E35">
        <v>3.1680982211335358E-16</v>
      </c>
      <c r="F35">
        <v>0.75000000000000022</v>
      </c>
      <c r="G35">
        <v>2.2500000000000004</v>
      </c>
      <c r="H35">
        <v>6.89555641296514E-16</v>
      </c>
      <c r="I35" s="4">
        <v>-1.4999999999999993</v>
      </c>
      <c r="J35">
        <f t="shared" si="0"/>
        <v>6.1249999999999991</v>
      </c>
      <c r="K35">
        <f t="shared" si="1"/>
        <v>6.125</v>
      </c>
      <c r="L35">
        <f t="shared" si="2"/>
        <v>6.8749999999999991</v>
      </c>
      <c r="M35">
        <f t="shared" si="3"/>
        <v>6.875</v>
      </c>
      <c r="N35">
        <f t="shared" si="4"/>
        <v>6</v>
      </c>
      <c r="O35">
        <f t="shared" si="5"/>
        <v>4.125</v>
      </c>
      <c r="P35">
        <f t="shared" si="6"/>
        <v>4.875</v>
      </c>
      <c r="Q35">
        <f t="shared" si="7"/>
        <v>7.125</v>
      </c>
      <c r="R35">
        <f t="shared" si="8"/>
        <v>4.875</v>
      </c>
      <c r="S35" t="str" cm="1">
        <f t="array" ref="S35">_xlfn.TEXTJOIN(", ", TRUE, _xlfn._xlws.FILTER($J$17:$R$17, J35:R35 = MAX(J35:R35)))</f>
        <v>Profile 8</v>
      </c>
    </row>
    <row r="36" spans="1:19" ht="15" thickBot="1" x14ac:dyDescent="0.35">
      <c r="A36">
        <v>19</v>
      </c>
      <c r="B36">
        <v>6.5000000000000009</v>
      </c>
      <c r="C36">
        <v>-0.750000000000001</v>
      </c>
      <c r="D36">
        <v>-0.75000000000000122</v>
      </c>
      <c r="E36">
        <v>1.5</v>
      </c>
      <c r="F36">
        <v>-0.49999999999999944</v>
      </c>
      <c r="G36">
        <v>1.0000000000000002</v>
      </c>
      <c r="H36">
        <v>-0.49999999999999939</v>
      </c>
      <c r="I36" s="4">
        <v>-0.50000000000000022</v>
      </c>
      <c r="J36">
        <f t="shared" si="0"/>
        <v>5.75</v>
      </c>
      <c r="K36">
        <f t="shared" si="1"/>
        <v>6.75</v>
      </c>
      <c r="L36">
        <f t="shared" si="2"/>
        <v>5.25</v>
      </c>
      <c r="M36">
        <f t="shared" si="3"/>
        <v>6.25</v>
      </c>
      <c r="N36">
        <f t="shared" si="4"/>
        <v>6.0000000000000009</v>
      </c>
      <c r="O36">
        <f t="shared" si="5"/>
        <v>4.75</v>
      </c>
      <c r="P36">
        <f t="shared" si="6"/>
        <v>5.25</v>
      </c>
      <c r="Q36">
        <f t="shared" si="7"/>
        <v>6.75</v>
      </c>
      <c r="R36">
        <f t="shared" si="8"/>
        <v>7.25</v>
      </c>
      <c r="S36" t="str" cm="1">
        <f t="array" ref="S36">_xlfn.TEXTJOIN(", ", TRUE, _xlfn._xlws.FILTER($J$17:$R$17, J36:R36 = MAX(J36:R36)))</f>
        <v>Profile 9</v>
      </c>
    </row>
    <row r="37" spans="1:19" ht="15" thickBot="1" x14ac:dyDescent="0.35">
      <c r="A37">
        <v>20</v>
      </c>
      <c r="B37">
        <v>2.0000000000000009</v>
      </c>
      <c r="C37">
        <v>2.75</v>
      </c>
      <c r="D37">
        <v>4.25</v>
      </c>
      <c r="E37">
        <v>0.99999999999999878</v>
      </c>
      <c r="F37">
        <v>-1.5</v>
      </c>
      <c r="G37">
        <v>-0.50000000000000089</v>
      </c>
      <c r="H37">
        <v>-1.0000000000000011</v>
      </c>
      <c r="I37" s="4">
        <v>0.99999999999999878</v>
      </c>
      <c r="J37">
        <f t="shared" si="0"/>
        <v>6.2500000000000009</v>
      </c>
      <c r="K37">
        <f t="shared" si="1"/>
        <v>6.2499999999999991</v>
      </c>
      <c r="L37">
        <f t="shared" si="2"/>
        <v>4.7500000000000009</v>
      </c>
      <c r="M37">
        <f t="shared" si="3"/>
        <v>6.7499999999999991</v>
      </c>
      <c r="N37">
        <f t="shared" si="4"/>
        <v>2.9999999999999996</v>
      </c>
      <c r="O37">
        <f t="shared" si="5"/>
        <v>4.25</v>
      </c>
      <c r="P37">
        <f t="shared" si="6"/>
        <v>3.75</v>
      </c>
      <c r="Q37">
        <f t="shared" si="7"/>
        <v>4.25</v>
      </c>
      <c r="R37">
        <f t="shared" si="8"/>
        <v>5.75</v>
      </c>
      <c r="S37" t="str" cm="1">
        <f t="array" ref="S37">_xlfn.TEXTJOIN(", ", TRUE, _xlfn._xlws.FILTER($J$17:$R$17, J37:R37 = MAX(J37:R37)))</f>
        <v>Profile 4</v>
      </c>
    </row>
    <row r="38" spans="1:19" ht="15" thickBot="1" x14ac:dyDescent="0.35">
      <c r="A38">
        <v>21</v>
      </c>
      <c r="B38">
        <v>6</v>
      </c>
      <c r="C38">
        <v>-1.6250000000000007</v>
      </c>
      <c r="D38">
        <v>-0.87500000000000155</v>
      </c>
      <c r="E38">
        <v>2.4999999999999991</v>
      </c>
      <c r="F38">
        <v>-0.25000000000000022</v>
      </c>
      <c r="G38">
        <v>0.75</v>
      </c>
      <c r="H38">
        <v>-1.4999999999999998</v>
      </c>
      <c r="I38" s="4">
        <v>-0.99999999999999989</v>
      </c>
      <c r="J38">
        <f t="shared" si="0"/>
        <v>5.1249999999999982</v>
      </c>
      <c r="K38">
        <f t="shared" si="1"/>
        <v>6.1249999999999982</v>
      </c>
      <c r="L38">
        <f t="shared" si="2"/>
        <v>4.8749999999999982</v>
      </c>
      <c r="M38">
        <f t="shared" si="3"/>
        <v>4.8749999999999982</v>
      </c>
      <c r="N38">
        <f t="shared" si="4"/>
        <v>5</v>
      </c>
      <c r="O38">
        <f t="shared" si="5"/>
        <v>3.1249999999999991</v>
      </c>
      <c r="P38">
        <f t="shared" si="6"/>
        <v>2.8749999999999996</v>
      </c>
      <c r="Q38">
        <f t="shared" si="7"/>
        <v>5.1249999999999991</v>
      </c>
      <c r="R38">
        <f t="shared" si="8"/>
        <v>6.8749999999999982</v>
      </c>
      <c r="S38" t="str" cm="1">
        <f t="array" ref="S38">_xlfn.TEXTJOIN(", ", TRUE, _xlfn._xlws.FILTER($J$17:$R$17, J38:R38 = MAX(J38:R38)))</f>
        <v>Profile 9</v>
      </c>
    </row>
    <row r="39" spans="1:19" ht="15" thickBot="1" x14ac:dyDescent="0.35">
      <c r="A39">
        <v>22</v>
      </c>
      <c r="B39">
        <v>5.5</v>
      </c>
      <c r="C39">
        <v>-0.87500000000000044</v>
      </c>
      <c r="D39">
        <v>-1.1250000000000004</v>
      </c>
      <c r="E39">
        <v>1</v>
      </c>
      <c r="F39">
        <v>1.2500000000000002</v>
      </c>
      <c r="G39">
        <v>0.75</v>
      </c>
      <c r="H39">
        <v>3.712991914673537E-16</v>
      </c>
      <c r="I39" s="4">
        <v>-0.49999999999999978</v>
      </c>
      <c r="J39">
        <f t="shared" si="0"/>
        <v>4.375</v>
      </c>
      <c r="K39">
        <f t="shared" si="1"/>
        <v>5.375</v>
      </c>
      <c r="L39">
        <f t="shared" si="2"/>
        <v>5.625</v>
      </c>
      <c r="M39">
        <f t="shared" si="3"/>
        <v>4.625</v>
      </c>
      <c r="N39">
        <f t="shared" si="4"/>
        <v>5</v>
      </c>
      <c r="O39">
        <f t="shared" si="5"/>
        <v>5.375</v>
      </c>
      <c r="P39">
        <f t="shared" si="6"/>
        <v>4.625</v>
      </c>
      <c r="Q39">
        <f t="shared" si="7"/>
        <v>5.375</v>
      </c>
      <c r="R39">
        <f t="shared" si="8"/>
        <v>5.625</v>
      </c>
      <c r="S39" t="str" cm="1">
        <f t="array" ref="S39">_xlfn.TEXTJOIN(", ", TRUE, _xlfn._xlws.FILTER($J$17:$R$17, J39:R39 = MAX(J39:R39)))</f>
        <v>Profile 3, Profile 9</v>
      </c>
    </row>
    <row r="40" spans="1:19" ht="15" thickBot="1" x14ac:dyDescent="0.35">
      <c r="A40">
        <v>23</v>
      </c>
      <c r="B40">
        <v>6.4999999999999991</v>
      </c>
      <c r="C40">
        <v>-2.25</v>
      </c>
      <c r="D40">
        <v>-3.2500000000000004</v>
      </c>
      <c r="E40">
        <v>0.5</v>
      </c>
      <c r="F40">
        <v>-1.4999999999999989</v>
      </c>
      <c r="G40">
        <v>2.0000000000000013</v>
      </c>
      <c r="H40">
        <v>-0.49999999999999895</v>
      </c>
      <c r="I40" s="4">
        <v>-0.49999999999999944</v>
      </c>
      <c r="J40">
        <f t="shared" si="0"/>
        <v>3.2499999999999987</v>
      </c>
      <c r="K40">
        <f t="shared" si="1"/>
        <v>3.2499999999999996</v>
      </c>
      <c r="L40">
        <f t="shared" si="2"/>
        <v>1.75</v>
      </c>
      <c r="M40">
        <f t="shared" si="3"/>
        <v>4.75</v>
      </c>
      <c r="N40">
        <f t="shared" si="4"/>
        <v>6</v>
      </c>
      <c r="O40">
        <f t="shared" si="5"/>
        <v>2.2500000000000009</v>
      </c>
      <c r="P40">
        <f t="shared" si="6"/>
        <v>3.75</v>
      </c>
      <c r="Q40">
        <f t="shared" si="7"/>
        <v>6.25</v>
      </c>
      <c r="R40">
        <f t="shared" si="8"/>
        <v>4.7499999999999991</v>
      </c>
      <c r="S40" t="str" cm="1">
        <f t="array" ref="S40">_xlfn.TEXTJOIN(", ", TRUE, _xlfn._xlws.FILTER($J$17:$R$17, J40:R40 = MAX(J40:R40)))</f>
        <v>Profile 8</v>
      </c>
    </row>
    <row r="41" spans="1:19" ht="15" thickBot="1" x14ac:dyDescent="0.35">
      <c r="A41">
        <v>24</v>
      </c>
      <c r="B41">
        <v>5.5</v>
      </c>
      <c r="C41">
        <v>-0.12500000000000053</v>
      </c>
      <c r="D41">
        <v>0.12499999999999906</v>
      </c>
      <c r="E41">
        <v>0.99999999999999933</v>
      </c>
      <c r="F41">
        <v>0.74999999999999967</v>
      </c>
      <c r="G41">
        <v>1.2499999999999993</v>
      </c>
      <c r="H41">
        <v>-2.3206199466709607E-16</v>
      </c>
      <c r="I41" s="4">
        <v>-0.50000000000000011</v>
      </c>
      <c r="J41">
        <f t="shared" si="0"/>
        <v>5.6249999999999991</v>
      </c>
      <c r="K41">
        <f t="shared" si="1"/>
        <v>6.6249999999999982</v>
      </c>
      <c r="L41">
        <f t="shared" si="2"/>
        <v>6.3749999999999982</v>
      </c>
      <c r="M41">
        <f t="shared" si="3"/>
        <v>6.3749999999999982</v>
      </c>
      <c r="N41">
        <f t="shared" si="4"/>
        <v>5</v>
      </c>
      <c r="O41">
        <f t="shared" si="5"/>
        <v>5.6249999999999991</v>
      </c>
      <c r="P41">
        <f t="shared" si="6"/>
        <v>5.3749999999999991</v>
      </c>
      <c r="Q41">
        <f t="shared" si="7"/>
        <v>6.6249999999999991</v>
      </c>
      <c r="R41">
        <f t="shared" si="8"/>
        <v>6.3749999999999991</v>
      </c>
      <c r="S41" t="str" cm="1">
        <f t="array" ref="S41">_xlfn.TEXTJOIN(", ", TRUE, _xlfn._xlws.FILTER($J$17:$R$17, J41:R41 = MAX(J41:R41)))</f>
        <v>Profile 2, Profile 8</v>
      </c>
    </row>
    <row r="42" spans="1:19" ht="15" thickBot="1" x14ac:dyDescent="0.35">
      <c r="A42">
        <v>25</v>
      </c>
      <c r="B42">
        <v>1.000000000000002</v>
      </c>
      <c r="C42">
        <v>1.1846681862633941E-16</v>
      </c>
      <c r="D42">
        <v>7.4476024597418191E-17</v>
      </c>
      <c r="E42">
        <v>3.9999999999999973</v>
      </c>
      <c r="F42">
        <v>-1.4566275481545451E-15</v>
      </c>
      <c r="G42">
        <v>5.9999999999999982</v>
      </c>
      <c r="H42">
        <v>-8.1799287607937972E-16</v>
      </c>
      <c r="I42" s="4">
        <v>-8.3479958250687813E-16</v>
      </c>
      <c r="J42">
        <f t="shared" si="0"/>
        <v>1.000000000000002</v>
      </c>
      <c r="K42">
        <f t="shared" si="1"/>
        <v>4.9999999999999982</v>
      </c>
      <c r="L42">
        <f t="shared" si="2"/>
        <v>1.0000000000000007</v>
      </c>
      <c r="M42">
        <f t="shared" si="3"/>
        <v>6.9999999999999991</v>
      </c>
      <c r="N42">
        <f t="shared" si="4"/>
        <v>1.0000000000000011</v>
      </c>
      <c r="O42">
        <f t="shared" si="5"/>
        <v>0.99999999999999978</v>
      </c>
      <c r="P42">
        <f t="shared" si="6"/>
        <v>1.0000000000000013</v>
      </c>
      <c r="Q42">
        <f t="shared" si="7"/>
        <v>7</v>
      </c>
      <c r="R42">
        <f t="shared" si="8"/>
        <v>4.9999999999999991</v>
      </c>
      <c r="S42" t="str" cm="1">
        <f t="array" ref="S42">_xlfn.TEXTJOIN(", ", TRUE, _xlfn._xlws.FILTER($J$17:$R$17, J42:R42 = MAX(J42:R42)))</f>
        <v>Profile 4, Profile 8</v>
      </c>
    </row>
    <row r="43" spans="1:19" ht="15" thickBot="1" x14ac:dyDescent="0.35">
      <c r="A43">
        <v>26</v>
      </c>
      <c r="B43">
        <v>9</v>
      </c>
      <c r="C43">
        <v>-3.6250000000000013</v>
      </c>
      <c r="D43">
        <v>-4.875</v>
      </c>
      <c r="E43">
        <v>0.50000000000000078</v>
      </c>
      <c r="F43">
        <v>2.7500000000000009</v>
      </c>
      <c r="G43">
        <v>-0.24999999999999831</v>
      </c>
      <c r="H43">
        <v>0.50000000000000122</v>
      </c>
      <c r="I43" s="4">
        <v>-1.9999999999999991</v>
      </c>
      <c r="J43">
        <f t="shared" si="0"/>
        <v>4.125</v>
      </c>
      <c r="K43">
        <f t="shared" si="1"/>
        <v>5.1250000000000018</v>
      </c>
      <c r="L43">
        <f t="shared" si="2"/>
        <v>6.8750000000000009</v>
      </c>
      <c r="M43">
        <f t="shared" si="3"/>
        <v>1.8750000000000027</v>
      </c>
      <c r="N43">
        <f t="shared" si="4"/>
        <v>7.0000000000000009</v>
      </c>
      <c r="O43">
        <f t="shared" si="5"/>
        <v>6.125</v>
      </c>
      <c r="P43">
        <f t="shared" si="6"/>
        <v>5.875</v>
      </c>
      <c r="Q43">
        <f t="shared" si="7"/>
        <v>5.125</v>
      </c>
      <c r="R43">
        <f t="shared" si="8"/>
        <v>5.875</v>
      </c>
      <c r="S43" t="str" cm="1">
        <f t="array" ref="S43">_xlfn.TEXTJOIN(", ", TRUE, _xlfn._xlws.FILTER($J$17:$R$17, J43:R43 = MAX(J43:R43)))</f>
        <v>Profile 5</v>
      </c>
    </row>
    <row r="44" spans="1:19" ht="15" thickBot="1" x14ac:dyDescent="0.35">
      <c r="A44">
        <v>27</v>
      </c>
      <c r="B44">
        <v>5.4999999999999991</v>
      </c>
      <c r="C44">
        <v>2.0771509446240278E-16</v>
      </c>
      <c r="D44">
        <v>0.50000000000000022</v>
      </c>
      <c r="E44">
        <v>-0.5</v>
      </c>
      <c r="F44">
        <v>1.1379902719957383E-16</v>
      </c>
      <c r="G44">
        <v>-0.49999999999999989</v>
      </c>
      <c r="H44">
        <v>0.5</v>
      </c>
      <c r="I44" s="4">
        <v>0.49999999999999994</v>
      </c>
      <c r="J44">
        <f t="shared" si="0"/>
        <v>5.9999999999999991</v>
      </c>
      <c r="K44">
        <f t="shared" si="1"/>
        <v>5.9999999999999991</v>
      </c>
      <c r="L44">
        <f t="shared" si="2"/>
        <v>5.9999999999999991</v>
      </c>
      <c r="M44">
        <f t="shared" si="3"/>
        <v>5.9999999999999991</v>
      </c>
      <c r="N44">
        <f t="shared" si="4"/>
        <v>5.9999999999999991</v>
      </c>
      <c r="O44">
        <f t="shared" si="5"/>
        <v>5.9999999999999991</v>
      </c>
      <c r="P44">
        <f t="shared" si="6"/>
        <v>5.9999999999999991</v>
      </c>
      <c r="Q44">
        <f t="shared" si="7"/>
        <v>4.9999999999999991</v>
      </c>
      <c r="R44">
        <f t="shared" si="8"/>
        <v>4.9999999999999991</v>
      </c>
      <c r="S44" t="str" cm="1">
        <f t="array" ref="S44">_xlfn.TEXTJOIN(", ", TRUE, _xlfn._xlws.FILTER($J$17:$R$17, J44:R44 = MAX(J44:R44)))</f>
        <v>Profile 1, Profile 2, Profile 3, Profile 4, Profile 5, Profile 6, Profile 7</v>
      </c>
    </row>
    <row r="45" spans="1:19" x14ac:dyDescent="0.3">
      <c r="A45">
        <v>28</v>
      </c>
      <c r="B45">
        <v>4.9999999999999982</v>
      </c>
      <c r="C45">
        <v>-0.62500000000000044</v>
      </c>
      <c r="D45">
        <v>0.12500000000000008</v>
      </c>
      <c r="E45">
        <v>-1.4999999999999991</v>
      </c>
      <c r="F45">
        <v>0.750000000000001</v>
      </c>
      <c r="G45">
        <v>-0.24999999999999922</v>
      </c>
      <c r="H45">
        <v>0.50000000000000067</v>
      </c>
      <c r="I45">
        <v>1.9999999999999998</v>
      </c>
      <c r="J45">
        <f t="shared" si="0"/>
        <v>5.1249999999999982</v>
      </c>
      <c r="K45">
        <f t="shared" si="1"/>
        <v>4.125</v>
      </c>
      <c r="L45">
        <f t="shared" si="2"/>
        <v>5.8749999999999991</v>
      </c>
      <c r="M45">
        <f t="shared" si="3"/>
        <v>6.8749999999999991</v>
      </c>
      <c r="N45">
        <f t="shared" si="4"/>
        <v>6.9999999999999982</v>
      </c>
      <c r="O45">
        <f t="shared" si="5"/>
        <v>7.1249999999999982</v>
      </c>
      <c r="P45">
        <f t="shared" si="6"/>
        <v>4.8749999999999982</v>
      </c>
      <c r="Q45">
        <f t="shared" si="7"/>
        <v>4.1249999999999982</v>
      </c>
      <c r="R45">
        <f t="shared" si="8"/>
        <v>2.8749999999999987</v>
      </c>
      <c r="S45" t="str" cm="1">
        <f t="array" ref="S45">_xlfn.TEXTJOIN(", ", TRUE, _xlfn._xlws.FILTER($J$17:$R$17, J45:R45 = MAX(J45:R45)))</f>
        <v>Profile 6</v>
      </c>
    </row>
    <row r="47" spans="1:19" ht="15" thickBot="1" x14ac:dyDescent="0.35">
      <c r="A47">
        <v>30</v>
      </c>
      <c r="B47">
        <v>5.9999999999999982</v>
      </c>
      <c r="C47">
        <v>-1.1250000000000009</v>
      </c>
      <c r="D47">
        <v>-1.3750000000000007</v>
      </c>
      <c r="E47">
        <v>-0.49999999999999944</v>
      </c>
      <c r="F47">
        <v>0.75000000000000033</v>
      </c>
      <c r="G47">
        <v>1.7500000000000004</v>
      </c>
      <c r="H47">
        <v>0.50000000000000044</v>
      </c>
      <c r="I47" s="4">
        <v>-0.99999999999999989</v>
      </c>
      <c r="J47">
        <f t="shared" si="0"/>
        <v>4.6249999999999973</v>
      </c>
      <c r="K47">
        <f t="shared" si="1"/>
        <v>4.6249999999999982</v>
      </c>
      <c r="L47">
        <f t="shared" si="2"/>
        <v>5.3749999999999982</v>
      </c>
      <c r="M47">
        <f t="shared" si="3"/>
        <v>5.3749999999999982</v>
      </c>
      <c r="N47">
        <f t="shared" si="4"/>
        <v>4.9999999999999982</v>
      </c>
      <c r="O47">
        <f t="shared" si="5"/>
        <v>4.6249999999999982</v>
      </c>
      <c r="P47">
        <f t="shared" si="6"/>
        <v>5.3749999999999982</v>
      </c>
      <c r="Q47">
        <f t="shared" si="7"/>
        <v>6.6249999999999982</v>
      </c>
      <c r="R47">
        <f t="shared" si="8"/>
        <v>4.3749999999999982</v>
      </c>
      <c r="S47" t="str" cm="1">
        <f t="array" ref="S47">_xlfn.TEXTJOIN(", ", TRUE, _xlfn._xlws.FILTER($J$17:$R$17, J47:R47 = MAX(J47:R47)))</f>
        <v>Profile 8</v>
      </c>
    </row>
    <row r="48" spans="1:19" ht="15" thickBot="1" x14ac:dyDescent="0.35">
      <c r="A48">
        <v>31</v>
      </c>
      <c r="B48">
        <v>5.9999999999999991</v>
      </c>
      <c r="C48">
        <v>1.0000000000000002</v>
      </c>
      <c r="D48">
        <v>-1.9999999999999998</v>
      </c>
      <c r="E48">
        <v>-5.2801637018892263E-17</v>
      </c>
      <c r="F48">
        <v>-2.7311766527897722E-16</v>
      </c>
      <c r="G48">
        <v>-1.4548180793995024E-16</v>
      </c>
      <c r="H48">
        <v>-2.6521370819096693E-17</v>
      </c>
      <c r="I48" s="4">
        <v>1.9876180535878052E-16</v>
      </c>
      <c r="J48">
        <f t="shared" si="0"/>
        <v>3.9999999999999991</v>
      </c>
      <c r="K48">
        <f t="shared" si="1"/>
        <v>3.9999999999999991</v>
      </c>
      <c r="L48">
        <f t="shared" si="2"/>
        <v>3.9999999999999991</v>
      </c>
      <c r="M48">
        <f t="shared" si="3"/>
        <v>3.9999999999999991</v>
      </c>
      <c r="N48">
        <f t="shared" si="4"/>
        <v>5.9999999999999991</v>
      </c>
      <c r="O48">
        <f t="shared" si="5"/>
        <v>6.9999999999999991</v>
      </c>
      <c r="P48">
        <f t="shared" si="6"/>
        <v>6.9999999999999991</v>
      </c>
      <c r="Q48">
        <f t="shared" si="7"/>
        <v>6.9999999999999991</v>
      </c>
      <c r="R48">
        <f t="shared" si="8"/>
        <v>6.9999999999999991</v>
      </c>
      <c r="S48" t="str" cm="1">
        <f t="array" ref="S48">_xlfn.TEXTJOIN(", ", TRUE, _xlfn._xlws.FILTER($J$17:$R$17, J48:R48 = MAX(J48:R48)))</f>
        <v>Profile 6, Profile 7, Profile 8, Profile 9</v>
      </c>
    </row>
    <row r="49" spans="1:19" ht="15" thickBot="1" x14ac:dyDescent="0.35">
      <c r="A49">
        <v>32</v>
      </c>
      <c r="B49">
        <v>6.0000000000000018</v>
      </c>
      <c r="C49">
        <v>-0.37500000000000028</v>
      </c>
      <c r="D49">
        <v>-0.12500000000000072</v>
      </c>
      <c r="E49">
        <v>1.4999999999999998</v>
      </c>
      <c r="F49">
        <v>0.24999999999999958</v>
      </c>
      <c r="G49">
        <v>1.2499999999999996</v>
      </c>
      <c r="H49">
        <v>-0.50000000000000056</v>
      </c>
      <c r="I49" s="4">
        <v>-0.99999999999999989</v>
      </c>
      <c r="J49">
        <f t="shared" si="0"/>
        <v>5.8750000000000009</v>
      </c>
      <c r="K49">
        <f t="shared" si="1"/>
        <v>6.875</v>
      </c>
      <c r="L49">
        <f t="shared" si="2"/>
        <v>6.1250000000000009</v>
      </c>
      <c r="M49">
        <f t="shared" si="3"/>
        <v>6.1250000000000009</v>
      </c>
      <c r="N49">
        <f t="shared" si="4"/>
        <v>5.0000000000000018</v>
      </c>
      <c r="O49">
        <f t="shared" si="5"/>
        <v>4.8750000000000009</v>
      </c>
      <c r="P49">
        <f t="shared" si="6"/>
        <v>5.1250000000000009</v>
      </c>
      <c r="Q49">
        <f t="shared" si="7"/>
        <v>6.8750000000000009</v>
      </c>
      <c r="R49">
        <f t="shared" si="8"/>
        <v>7.1250000000000018</v>
      </c>
      <c r="S49" t="str" cm="1">
        <f t="array" ref="S49">_xlfn.TEXTJOIN(", ", TRUE, _xlfn._xlws.FILTER($J$17:$R$17, J49:R49 = MAX(J49:R49)))</f>
        <v>Profile 9</v>
      </c>
    </row>
    <row r="50" spans="1:19" ht="15" thickBot="1" x14ac:dyDescent="0.35">
      <c r="A50">
        <v>33</v>
      </c>
      <c r="B50">
        <v>6.0000000000000009</v>
      </c>
      <c r="C50">
        <v>-1.3750000000000007</v>
      </c>
      <c r="D50">
        <v>-1.1250000000000016</v>
      </c>
      <c r="E50">
        <v>2.4999999999999996</v>
      </c>
      <c r="F50">
        <v>2.2500000000000004</v>
      </c>
      <c r="G50">
        <v>2.25</v>
      </c>
      <c r="H50">
        <v>-1.5</v>
      </c>
      <c r="I50" s="4">
        <v>-1.0000000000000002</v>
      </c>
      <c r="J50">
        <f t="shared" si="0"/>
        <v>4.8749999999999991</v>
      </c>
      <c r="K50">
        <f t="shared" si="1"/>
        <v>5.8749999999999991</v>
      </c>
      <c r="L50">
        <f t="shared" si="2"/>
        <v>7.125</v>
      </c>
      <c r="M50">
        <f t="shared" si="3"/>
        <v>6.1249999999999991</v>
      </c>
      <c r="N50">
        <f t="shared" si="4"/>
        <v>5.0000000000000009</v>
      </c>
      <c r="O50">
        <f t="shared" si="5"/>
        <v>5.875</v>
      </c>
      <c r="P50">
        <f t="shared" si="6"/>
        <v>3.125</v>
      </c>
      <c r="Q50">
        <f t="shared" si="7"/>
        <v>6.875</v>
      </c>
      <c r="R50">
        <f t="shared" si="8"/>
        <v>7.125</v>
      </c>
      <c r="S50" t="str" cm="1">
        <f t="array" ref="S50">_xlfn.TEXTJOIN(", ", TRUE, _xlfn._xlws.FILTER($J$17:$R$17, J50:R50 = MAX(J50:R50)))</f>
        <v>Profile 3, Profile 9</v>
      </c>
    </row>
    <row r="51" spans="1:19" ht="15" thickBot="1" x14ac:dyDescent="0.35">
      <c r="A51">
        <v>34</v>
      </c>
      <c r="B51">
        <v>3.4999999999999996</v>
      </c>
      <c r="C51">
        <v>0.37499999999999978</v>
      </c>
      <c r="D51">
        <v>-0.375</v>
      </c>
      <c r="E51">
        <v>2.3760736658501519E-16</v>
      </c>
      <c r="F51">
        <v>-0.24999999999999978</v>
      </c>
      <c r="G51">
        <v>0.25000000000000017</v>
      </c>
      <c r="H51">
        <v>1.3260685409548346E-16</v>
      </c>
      <c r="I51" s="4">
        <v>0.49999999999999983</v>
      </c>
      <c r="J51">
        <f t="shared" si="0"/>
        <v>3.1249999999999996</v>
      </c>
      <c r="K51">
        <f t="shared" si="1"/>
        <v>3.125</v>
      </c>
      <c r="L51">
        <f t="shared" si="2"/>
        <v>2.875</v>
      </c>
      <c r="M51">
        <f t="shared" si="3"/>
        <v>3.8749999999999996</v>
      </c>
      <c r="N51">
        <f t="shared" si="4"/>
        <v>3.9999999999999996</v>
      </c>
      <c r="O51">
        <f t="shared" si="5"/>
        <v>4.1249999999999991</v>
      </c>
      <c r="P51">
        <f t="shared" si="6"/>
        <v>3.8749999999999996</v>
      </c>
      <c r="Q51">
        <f t="shared" si="7"/>
        <v>4.125</v>
      </c>
      <c r="R51">
        <f t="shared" si="8"/>
        <v>3.8749999999999996</v>
      </c>
      <c r="S51" t="str" cm="1">
        <f t="array" ref="S51">_xlfn.TEXTJOIN(", ", TRUE, _xlfn._xlws.FILTER($J$17:$R$17, J51:R51 = MAX(J51:R51)))</f>
        <v>Profile 6, Profile 8</v>
      </c>
    </row>
    <row r="52" spans="1:19" ht="15" thickBot="1" x14ac:dyDescent="0.35">
      <c r="A52">
        <v>35</v>
      </c>
      <c r="B52">
        <v>5.4999999999999973</v>
      </c>
      <c r="C52">
        <v>-0.25000000000000044</v>
      </c>
      <c r="D52">
        <v>-2.2499999999999991</v>
      </c>
      <c r="E52">
        <v>-0.49999999999999928</v>
      </c>
      <c r="F52">
        <v>1.5000000000000007</v>
      </c>
      <c r="G52">
        <v>1.0000000000000007</v>
      </c>
      <c r="H52">
        <v>0.50000000000000067</v>
      </c>
      <c r="I52" s="4">
        <v>0.50000000000000011</v>
      </c>
      <c r="J52">
        <f t="shared" si="0"/>
        <v>3.2499999999999982</v>
      </c>
      <c r="K52">
        <f t="shared" si="1"/>
        <v>3.25</v>
      </c>
      <c r="L52">
        <f t="shared" si="2"/>
        <v>4.7499999999999991</v>
      </c>
      <c r="M52">
        <f t="shared" si="3"/>
        <v>4.7499999999999991</v>
      </c>
      <c r="N52">
        <f t="shared" si="4"/>
        <v>5.9999999999999973</v>
      </c>
      <c r="O52">
        <f t="shared" si="5"/>
        <v>7.2499999999999982</v>
      </c>
      <c r="P52">
        <f t="shared" si="6"/>
        <v>5.7499999999999973</v>
      </c>
      <c r="Q52">
        <f t="shared" si="7"/>
        <v>6.2499999999999973</v>
      </c>
      <c r="R52">
        <f t="shared" si="8"/>
        <v>4.7499999999999973</v>
      </c>
      <c r="S52" t="str" cm="1">
        <f t="array" ref="S52">_xlfn.TEXTJOIN(", ", TRUE, _xlfn._xlws.FILTER($J$17:$R$17, J52:R52 = MAX(J52:R52)))</f>
        <v>Profile 6</v>
      </c>
    </row>
    <row r="53" spans="1:19" ht="15" thickBot="1" x14ac:dyDescent="0.35">
      <c r="A53">
        <v>36</v>
      </c>
      <c r="B53">
        <v>0.50000000000000233</v>
      </c>
      <c r="C53">
        <v>0.374999999999998</v>
      </c>
      <c r="D53">
        <v>0.62499999999999734</v>
      </c>
      <c r="E53">
        <v>4</v>
      </c>
      <c r="F53">
        <v>0.75000000000000133</v>
      </c>
      <c r="G53">
        <v>5.25</v>
      </c>
      <c r="H53">
        <v>6.6303427047741731E-16</v>
      </c>
      <c r="I53" s="4">
        <v>0.49999999999999895</v>
      </c>
      <c r="J53">
        <f t="shared" si="0"/>
        <v>1.1249999999999996</v>
      </c>
      <c r="K53">
        <f t="shared" si="1"/>
        <v>5.1250000000000009</v>
      </c>
      <c r="L53">
        <f t="shared" si="2"/>
        <v>1.8750000000000009</v>
      </c>
      <c r="M53">
        <f t="shared" si="3"/>
        <v>6.8749999999999991</v>
      </c>
      <c r="N53">
        <f t="shared" si="4"/>
        <v>1.0000000000000013</v>
      </c>
      <c r="O53">
        <f t="shared" si="5"/>
        <v>2.1250000000000004</v>
      </c>
      <c r="P53">
        <f t="shared" si="6"/>
        <v>0.875000000000001</v>
      </c>
      <c r="Q53">
        <f t="shared" si="7"/>
        <v>6.1250000000000009</v>
      </c>
      <c r="R53">
        <f t="shared" si="8"/>
        <v>4.8750000000000009</v>
      </c>
      <c r="S53" t="str" cm="1">
        <f t="array" ref="S53">_xlfn.TEXTJOIN(", ", TRUE, _xlfn._xlws.FILTER($J$17:$R$17, J53:R53 = MAX(J53:R53)))</f>
        <v>Profile 4</v>
      </c>
    </row>
    <row r="54" spans="1:19" ht="15" thickBot="1" x14ac:dyDescent="0.35">
      <c r="A54">
        <v>37</v>
      </c>
      <c r="B54">
        <v>6</v>
      </c>
      <c r="C54">
        <v>3.9053405867468347E-16</v>
      </c>
      <c r="D54">
        <v>1.0000000000000002</v>
      </c>
      <c r="E54">
        <v>-3.4842953127240568E-16</v>
      </c>
      <c r="F54">
        <v>-4.3263858607696062E-16</v>
      </c>
      <c r="G54">
        <v>-4.3263858607696062E-16</v>
      </c>
      <c r="H54">
        <v>-3.4842953127240568E-16</v>
      </c>
      <c r="I54" s="4">
        <v>8.8267973090152781E-32</v>
      </c>
      <c r="J54">
        <f t="shared" si="0"/>
        <v>7</v>
      </c>
      <c r="K54">
        <f t="shared" si="1"/>
        <v>7</v>
      </c>
      <c r="L54">
        <f t="shared" si="2"/>
        <v>7</v>
      </c>
      <c r="M54">
        <f t="shared" si="3"/>
        <v>7</v>
      </c>
      <c r="N54">
        <f t="shared" si="4"/>
        <v>6</v>
      </c>
      <c r="O54">
        <f t="shared" si="5"/>
        <v>6</v>
      </c>
      <c r="P54">
        <f t="shared" si="6"/>
        <v>6</v>
      </c>
      <c r="Q54">
        <f t="shared" si="7"/>
        <v>6</v>
      </c>
      <c r="R54">
        <f t="shared" si="8"/>
        <v>6</v>
      </c>
      <c r="S54" t="str" cm="1">
        <f t="array" ref="S54">_xlfn.TEXTJOIN(", ", TRUE, _xlfn._xlws.FILTER($J$17:$R$17, J54:R54 = MAX(J54:R54)))</f>
        <v>Profile 1, Profile 2, Profile 3, Profile 4</v>
      </c>
    </row>
    <row r="55" spans="1:19" ht="15" thickBot="1" x14ac:dyDescent="0.35">
      <c r="A55">
        <v>38</v>
      </c>
      <c r="B55">
        <v>4</v>
      </c>
      <c r="C55">
        <v>9.8562691794219881E-18</v>
      </c>
      <c r="D55">
        <v>2.792850922403182E-17</v>
      </c>
      <c r="E55">
        <v>2.1905352909895516E-17</v>
      </c>
      <c r="F55">
        <v>0.99999999999999978</v>
      </c>
      <c r="G55">
        <v>-1.1343731449299406E-16</v>
      </c>
      <c r="H55">
        <v>2.1905352909895488E-17</v>
      </c>
      <c r="I55" s="4">
        <v>7.9504722143512202E-17</v>
      </c>
      <c r="J55">
        <f t="shared" si="0"/>
        <v>4</v>
      </c>
      <c r="K55">
        <f t="shared" si="1"/>
        <v>4</v>
      </c>
      <c r="L55">
        <f t="shared" si="2"/>
        <v>5</v>
      </c>
      <c r="M55">
        <f t="shared" si="3"/>
        <v>4</v>
      </c>
      <c r="N55">
        <f t="shared" si="4"/>
        <v>4</v>
      </c>
      <c r="O55">
        <f t="shared" si="5"/>
        <v>5</v>
      </c>
      <c r="P55">
        <f t="shared" si="6"/>
        <v>4</v>
      </c>
      <c r="Q55">
        <f t="shared" si="7"/>
        <v>4</v>
      </c>
      <c r="R55">
        <f t="shared" si="8"/>
        <v>4</v>
      </c>
      <c r="S55" t="str" cm="1">
        <f t="array" ref="S55">_xlfn.TEXTJOIN(", ", TRUE, _xlfn._xlws.FILTER($J$17:$R$17, J55:R55 = MAX(J55:R55)))</f>
        <v>Profile 3, Profile 6</v>
      </c>
    </row>
    <row r="56" spans="1:19" ht="15" thickBot="1" x14ac:dyDescent="0.35">
      <c r="A56">
        <v>39</v>
      </c>
      <c r="B56">
        <v>5.5</v>
      </c>
      <c r="C56">
        <v>-0.49999999999999917</v>
      </c>
      <c r="D56">
        <v>5.9580819677934553E-16</v>
      </c>
      <c r="E56">
        <v>0.49999999999999944</v>
      </c>
      <c r="F56">
        <v>-5.4623533055795445E-16</v>
      </c>
      <c r="G56">
        <v>1.4999999999999996</v>
      </c>
      <c r="H56">
        <v>-0.49999999999999989</v>
      </c>
      <c r="I56" s="4">
        <v>-0.49999999999999961</v>
      </c>
      <c r="J56">
        <f t="shared" si="0"/>
        <v>5.5000000000000009</v>
      </c>
      <c r="K56">
        <f t="shared" si="1"/>
        <v>5.5</v>
      </c>
      <c r="L56">
        <f t="shared" si="2"/>
        <v>5.5</v>
      </c>
      <c r="M56">
        <f t="shared" si="3"/>
        <v>6.5000000000000009</v>
      </c>
      <c r="N56">
        <f t="shared" si="4"/>
        <v>5</v>
      </c>
      <c r="O56">
        <f t="shared" si="5"/>
        <v>4.5000000000000009</v>
      </c>
      <c r="P56">
        <f t="shared" si="6"/>
        <v>4.5000000000000009</v>
      </c>
      <c r="Q56">
        <f t="shared" si="7"/>
        <v>6.5</v>
      </c>
      <c r="R56">
        <f t="shared" si="8"/>
        <v>5.5</v>
      </c>
      <c r="S56" t="str" cm="1">
        <f t="array" ref="S56">_xlfn.TEXTJOIN(", ", TRUE, _xlfn._xlws.FILTER($J$17:$R$17, J56:R56 = MAX(J56:R56)))</f>
        <v>Profile 4, Profile 8</v>
      </c>
    </row>
    <row r="57" spans="1:19" ht="15" thickBot="1" x14ac:dyDescent="0.35">
      <c r="A57">
        <v>40</v>
      </c>
      <c r="B57">
        <v>1.500000000000002</v>
      </c>
      <c r="C57">
        <v>0.37499999999999656</v>
      </c>
      <c r="D57">
        <v>-0.37500000000000255</v>
      </c>
      <c r="E57">
        <v>1.0692331496325684E-15</v>
      </c>
      <c r="F57">
        <v>-0.24999999999999575</v>
      </c>
      <c r="G57">
        <v>0.25000000000000216</v>
      </c>
      <c r="H57">
        <v>9.9455140571612606E-16</v>
      </c>
      <c r="I57" s="4">
        <v>4.4999999999999956</v>
      </c>
      <c r="J57">
        <f t="shared" si="0"/>
        <v>1.1249999999999996</v>
      </c>
      <c r="K57">
        <f t="shared" si="1"/>
        <v>1.1250000000000016</v>
      </c>
      <c r="L57">
        <f t="shared" si="2"/>
        <v>0.87500000000000366</v>
      </c>
      <c r="M57">
        <f t="shared" si="3"/>
        <v>5.8749999999999973</v>
      </c>
      <c r="N57">
        <f t="shared" si="4"/>
        <v>5.9999999999999973</v>
      </c>
      <c r="O57">
        <f t="shared" si="5"/>
        <v>6.1249999999999982</v>
      </c>
      <c r="P57">
        <f t="shared" si="6"/>
        <v>1.8749999999999996</v>
      </c>
      <c r="Q57">
        <f t="shared" si="7"/>
        <v>2.1250000000000009</v>
      </c>
      <c r="R57">
        <f t="shared" si="8"/>
        <v>1.8749999999999996</v>
      </c>
      <c r="S57" t="str" cm="1">
        <f t="array" ref="S57">_xlfn.TEXTJOIN(", ", TRUE, _xlfn._xlws.FILTER($J$17:$R$17, J57:R57 = MAX(J57:R57)))</f>
        <v>Profile 6</v>
      </c>
    </row>
    <row r="58" spans="1:19" ht="15" thickBot="1" x14ac:dyDescent="0.35">
      <c r="A58">
        <v>41</v>
      </c>
      <c r="B58">
        <v>2.9999999999999996</v>
      </c>
      <c r="C58">
        <v>1.8750000000000033</v>
      </c>
      <c r="D58">
        <v>3.6250000000000022</v>
      </c>
      <c r="E58">
        <v>2.4999999999999973</v>
      </c>
      <c r="F58">
        <v>0.74999999999999623</v>
      </c>
      <c r="G58">
        <v>-3.2500000000000031</v>
      </c>
      <c r="H58">
        <v>-2.5000000000000018</v>
      </c>
      <c r="I58" s="4">
        <v>-1.9999999999999984</v>
      </c>
      <c r="J58">
        <f t="shared" si="0"/>
        <v>6.6250000000000018</v>
      </c>
      <c r="K58">
        <f t="shared" si="1"/>
        <v>6.6249999999999982</v>
      </c>
      <c r="L58">
        <f t="shared" si="2"/>
        <v>7.3749999999999982</v>
      </c>
      <c r="M58">
        <f t="shared" si="3"/>
        <v>1.3750000000000002</v>
      </c>
      <c r="N58">
        <f t="shared" si="4"/>
        <v>1.0000000000000011</v>
      </c>
      <c r="O58">
        <f t="shared" si="5"/>
        <v>3.6250000000000009</v>
      </c>
      <c r="P58">
        <f t="shared" si="6"/>
        <v>2.3750000000000009</v>
      </c>
      <c r="Q58">
        <f t="shared" si="7"/>
        <v>1.6249999999999998</v>
      </c>
      <c r="R58">
        <f t="shared" si="8"/>
        <v>7.375</v>
      </c>
      <c r="S58" t="str" cm="1">
        <f t="array" ref="S58">_xlfn.TEXTJOIN(", ", TRUE, _xlfn._xlws.FILTER($J$17:$R$17, J58:R58 = MAX(J58:R58)))</f>
        <v>Profile 3, Profile 9</v>
      </c>
    </row>
    <row r="59" spans="1:19" ht="15" thickBot="1" x14ac:dyDescent="0.35">
      <c r="A59">
        <v>42</v>
      </c>
      <c r="B59">
        <v>6.5</v>
      </c>
      <c r="C59">
        <v>-3.3886017204988989E-16</v>
      </c>
      <c r="D59">
        <v>-0.50000000000000056</v>
      </c>
      <c r="E59">
        <v>0.50000000000000011</v>
      </c>
      <c r="F59">
        <v>-0.99999999999999967</v>
      </c>
      <c r="G59">
        <v>0.50000000000000011</v>
      </c>
      <c r="H59">
        <v>-0.49999999999999967</v>
      </c>
      <c r="I59" s="4">
        <v>0.49999999999999983</v>
      </c>
      <c r="J59">
        <f t="shared" si="0"/>
        <v>5.9999999999999991</v>
      </c>
      <c r="K59">
        <f t="shared" si="1"/>
        <v>6</v>
      </c>
      <c r="L59">
        <f t="shared" si="2"/>
        <v>5</v>
      </c>
      <c r="M59">
        <f t="shared" si="3"/>
        <v>6.9999999999999991</v>
      </c>
      <c r="N59">
        <f t="shared" si="4"/>
        <v>7</v>
      </c>
      <c r="O59">
        <f t="shared" si="5"/>
        <v>6</v>
      </c>
      <c r="P59">
        <f t="shared" si="6"/>
        <v>6</v>
      </c>
      <c r="Q59">
        <f t="shared" si="7"/>
        <v>7</v>
      </c>
      <c r="R59">
        <f t="shared" si="8"/>
        <v>7</v>
      </c>
      <c r="S59" t="str" cm="1">
        <f t="array" ref="S59">_xlfn.TEXTJOIN(", ", TRUE, _xlfn._xlws.FILTER($J$17:$R$17, J59:R59 = MAX(J59:R59)))</f>
        <v>Profile 4, Profile 5, Profile 8, Profile 9</v>
      </c>
    </row>
    <row r="60" spans="1:19" ht="15" thickBot="1" x14ac:dyDescent="0.35">
      <c r="A60">
        <v>43</v>
      </c>
      <c r="B60">
        <v>2.0000000000000009</v>
      </c>
      <c r="C60">
        <v>-0.24999999999999911</v>
      </c>
      <c r="D60">
        <v>1.2500000000000004</v>
      </c>
      <c r="E60">
        <v>0.99999999999999889</v>
      </c>
      <c r="F60">
        <v>2.4999999999999987</v>
      </c>
      <c r="G60">
        <v>4.4999999999999982</v>
      </c>
      <c r="H60">
        <v>2.9999999999999987</v>
      </c>
      <c r="I60" s="4">
        <v>-0.99999999999999989</v>
      </c>
      <c r="J60">
        <f t="shared" si="0"/>
        <v>3.2500000000000013</v>
      </c>
      <c r="K60">
        <f t="shared" si="1"/>
        <v>7.2499999999999991</v>
      </c>
      <c r="L60">
        <f t="shared" si="2"/>
        <v>5.75</v>
      </c>
      <c r="M60">
        <f t="shared" si="3"/>
        <v>6.7499999999999991</v>
      </c>
      <c r="N60">
        <f t="shared" si="4"/>
        <v>1.0000000000000009</v>
      </c>
      <c r="O60">
        <f t="shared" si="5"/>
        <v>3.2500000000000004</v>
      </c>
      <c r="P60">
        <f t="shared" si="6"/>
        <v>4.75</v>
      </c>
      <c r="Q60">
        <f t="shared" si="7"/>
        <v>6.25</v>
      </c>
      <c r="R60">
        <f t="shared" si="8"/>
        <v>2.7500000000000009</v>
      </c>
      <c r="S60" t="str" cm="1">
        <f t="array" ref="S60">_xlfn.TEXTJOIN(", ", TRUE, _xlfn._xlws.FILTER($J$17:$R$17, J60:R60 = MAX(J60:R60)))</f>
        <v>Profile 2</v>
      </c>
    </row>
    <row r="61" spans="1:19" ht="15" thickBot="1" x14ac:dyDescent="0.35">
      <c r="A61">
        <v>44</v>
      </c>
      <c r="B61">
        <v>3.0000000000000009</v>
      </c>
      <c r="C61">
        <v>0.62500000000000078</v>
      </c>
      <c r="D61">
        <v>1.875</v>
      </c>
      <c r="E61">
        <v>0.49999999999999906</v>
      </c>
      <c r="F61">
        <v>-0.75000000000000078</v>
      </c>
      <c r="G61">
        <v>-0.75000000000000078</v>
      </c>
      <c r="H61">
        <v>0.49999999999999906</v>
      </c>
      <c r="I61" s="4">
        <v>0</v>
      </c>
      <c r="J61">
        <f t="shared" si="0"/>
        <v>4.8750000000000009</v>
      </c>
      <c r="K61">
        <f t="shared" si="1"/>
        <v>5.8749999999999991</v>
      </c>
      <c r="L61">
        <f t="shared" si="2"/>
        <v>4.125</v>
      </c>
      <c r="M61">
        <f t="shared" si="3"/>
        <v>4.125</v>
      </c>
      <c r="N61">
        <f t="shared" si="4"/>
        <v>3.0000000000000009</v>
      </c>
      <c r="O61">
        <f t="shared" si="5"/>
        <v>2.8750000000000009</v>
      </c>
      <c r="P61">
        <f t="shared" si="6"/>
        <v>4.1250000000000009</v>
      </c>
      <c r="Q61">
        <f t="shared" si="7"/>
        <v>2.8750000000000009</v>
      </c>
      <c r="R61">
        <f t="shared" si="8"/>
        <v>4.1250000000000009</v>
      </c>
      <c r="S61" t="str" cm="1">
        <f t="array" ref="S61">_xlfn.TEXTJOIN(", ", TRUE, _xlfn._xlws.FILTER($J$17:$R$17, J61:R61 = MAX(J61:R61)))</f>
        <v>Profile 2</v>
      </c>
    </row>
    <row r="62" spans="1:19" ht="15" thickBot="1" x14ac:dyDescent="0.35">
      <c r="I62" s="4"/>
    </row>
    <row r="63" spans="1:19" ht="15" thickBot="1" x14ac:dyDescent="0.35">
      <c r="A63">
        <v>46</v>
      </c>
      <c r="B63">
        <v>1.5000000000000013</v>
      </c>
      <c r="C63">
        <v>-0.62500000000000044</v>
      </c>
      <c r="D63">
        <v>-0.37500000000000122</v>
      </c>
      <c r="E63">
        <v>4.9999999999999973</v>
      </c>
      <c r="F63">
        <v>4.7499999999999991</v>
      </c>
      <c r="G63">
        <v>3.2499999999999982</v>
      </c>
      <c r="H63">
        <v>-5.7020947261057892E-16</v>
      </c>
      <c r="I63" s="4">
        <v>-0.50000000000000044</v>
      </c>
      <c r="J63">
        <f t="shared" si="0"/>
        <v>1.125</v>
      </c>
      <c r="K63">
        <f t="shared" si="1"/>
        <v>6.1249999999999964</v>
      </c>
      <c r="L63">
        <f t="shared" si="2"/>
        <v>5.875</v>
      </c>
      <c r="M63">
        <f t="shared" si="3"/>
        <v>3.8749999999999978</v>
      </c>
      <c r="N63">
        <f t="shared" si="4"/>
        <v>1.0000000000000009</v>
      </c>
      <c r="O63">
        <f t="shared" si="5"/>
        <v>5.1249999999999991</v>
      </c>
      <c r="P63">
        <f t="shared" si="6"/>
        <v>0.87500000000000033</v>
      </c>
      <c r="Q63">
        <f t="shared" si="7"/>
        <v>4.1249999999999991</v>
      </c>
      <c r="R63">
        <f t="shared" si="8"/>
        <v>5.8749999999999982</v>
      </c>
      <c r="S63" t="str" cm="1">
        <f t="array" ref="S63">_xlfn.TEXTJOIN(", ", TRUE, _xlfn._xlws.FILTER($J$17:$R$17, J63:R63 = MAX(J63:R63)))</f>
        <v>Profile 2</v>
      </c>
    </row>
    <row r="64" spans="1:19" ht="15" thickBot="1" x14ac:dyDescent="0.35">
      <c r="A64">
        <v>47</v>
      </c>
      <c r="B64">
        <v>5.4999999999999991</v>
      </c>
      <c r="C64">
        <v>0.62499999999999989</v>
      </c>
      <c r="D64">
        <v>0.37499999999999994</v>
      </c>
      <c r="E64">
        <v>2.6400818509446132E-17</v>
      </c>
      <c r="F64">
        <v>0.25000000000000006</v>
      </c>
      <c r="G64">
        <v>-0.25000000000000017</v>
      </c>
      <c r="H64">
        <v>-1.0608548327638677E-16</v>
      </c>
      <c r="I64" s="4">
        <v>0.49999999999999978</v>
      </c>
      <c r="J64">
        <f t="shared" si="0"/>
        <v>5.8749999999999991</v>
      </c>
      <c r="K64">
        <f t="shared" si="1"/>
        <v>5.8749999999999991</v>
      </c>
      <c r="L64">
        <f t="shared" si="2"/>
        <v>6.1249999999999991</v>
      </c>
      <c r="M64">
        <f t="shared" si="3"/>
        <v>6.1249999999999982</v>
      </c>
      <c r="N64">
        <f t="shared" si="4"/>
        <v>5.9999999999999991</v>
      </c>
      <c r="O64">
        <f t="shared" si="5"/>
        <v>6.8749999999999991</v>
      </c>
      <c r="P64">
        <f t="shared" si="6"/>
        <v>6.1249999999999991</v>
      </c>
      <c r="Q64">
        <f t="shared" si="7"/>
        <v>5.8749999999999991</v>
      </c>
      <c r="R64">
        <f t="shared" si="8"/>
        <v>6.1249999999999991</v>
      </c>
      <c r="S64" t="str" cm="1">
        <f t="array" ref="S64">_xlfn.TEXTJOIN(", ", TRUE, _xlfn._xlws.FILTER($J$17:$R$17, J64:R64 = MAX(J64:R64)))</f>
        <v>Profile 6</v>
      </c>
    </row>
    <row r="65" spans="1:19" ht="15" thickBot="1" x14ac:dyDescent="0.35">
      <c r="A65">
        <v>48</v>
      </c>
      <c r="B65">
        <v>5.5000000000000018</v>
      </c>
      <c r="C65">
        <v>-1.0000000000000011</v>
      </c>
      <c r="D65">
        <v>-0.50000000000000144</v>
      </c>
      <c r="E65">
        <v>0.50000000000000011</v>
      </c>
      <c r="F65">
        <v>-0.99999999999999944</v>
      </c>
      <c r="G65">
        <v>0.50000000000000033</v>
      </c>
      <c r="H65">
        <v>0.50000000000000011</v>
      </c>
      <c r="I65" s="4">
        <v>-0.50000000000000033</v>
      </c>
      <c r="J65">
        <f t="shared" si="0"/>
        <v>5</v>
      </c>
      <c r="K65">
        <f t="shared" si="1"/>
        <v>6.0000000000000009</v>
      </c>
      <c r="L65">
        <f t="shared" si="2"/>
        <v>4.0000000000000009</v>
      </c>
      <c r="M65">
        <f t="shared" si="3"/>
        <v>5</v>
      </c>
      <c r="N65">
        <f t="shared" si="4"/>
        <v>5.0000000000000018</v>
      </c>
      <c r="O65">
        <f t="shared" si="5"/>
        <v>3.0000000000000009</v>
      </c>
      <c r="P65">
        <f t="shared" si="6"/>
        <v>5.0000000000000009</v>
      </c>
      <c r="Q65">
        <f t="shared" si="7"/>
        <v>5.0000000000000009</v>
      </c>
      <c r="R65">
        <f t="shared" si="8"/>
        <v>5.0000000000000009</v>
      </c>
      <c r="S65" t="str" cm="1">
        <f t="array" ref="S65">_xlfn.TEXTJOIN(", ", TRUE, _xlfn._xlws.FILTER($J$17:$R$17, J65:R65 = MAX(J65:R65)))</f>
        <v>Profile 2</v>
      </c>
    </row>
    <row r="66" spans="1:19" ht="15" thickBot="1" x14ac:dyDescent="0.35">
      <c r="A66">
        <v>49</v>
      </c>
      <c r="B66">
        <v>5</v>
      </c>
      <c r="C66">
        <v>-1.7485847502572364E-16</v>
      </c>
      <c r="D66">
        <v>-1.0000000000000002</v>
      </c>
      <c r="E66">
        <v>0.99999999999999978</v>
      </c>
      <c r="F66">
        <v>-1.0000000000000002</v>
      </c>
      <c r="G66">
        <v>2</v>
      </c>
      <c r="H66">
        <v>7.781987735723486E-17</v>
      </c>
      <c r="I66" s="4">
        <v>0.99999999999999956</v>
      </c>
      <c r="J66">
        <f t="shared" si="0"/>
        <v>4</v>
      </c>
      <c r="K66">
        <f t="shared" si="1"/>
        <v>5</v>
      </c>
      <c r="L66">
        <f t="shared" si="2"/>
        <v>2.9999999999999996</v>
      </c>
      <c r="M66">
        <f t="shared" si="3"/>
        <v>6.9999999999999991</v>
      </c>
      <c r="N66">
        <f t="shared" si="4"/>
        <v>6</v>
      </c>
      <c r="O66">
        <f t="shared" si="5"/>
        <v>4.9999999999999991</v>
      </c>
      <c r="P66">
        <f t="shared" si="6"/>
        <v>5</v>
      </c>
      <c r="Q66">
        <f t="shared" si="7"/>
        <v>7</v>
      </c>
      <c r="R66">
        <f t="shared" si="8"/>
        <v>6</v>
      </c>
      <c r="S66" t="str" cm="1">
        <f t="array" ref="S66">_xlfn.TEXTJOIN(", ", TRUE, _xlfn._xlws.FILTER($J$17:$R$17, J66:R66 = MAX(J66:R66)))</f>
        <v>Profile 4, Profile 8</v>
      </c>
    </row>
    <row r="67" spans="1:19" ht="15" thickBot="1" x14ac:dyDescent="0.35">
      <c r="A67">
        <v>50</v>
      </c>
      <c r="B67">
        <v>3</v>
      </c>
      <c r="C67">
        <v>3.0000000000000027</v>
      </c>
      <c r="D67">
        <v>3.0000000000000018</v>
      </c>
      <c r="E67">
        <v>0.99999999999999911</v>
      </c>
      <c r="F67">
        <v>-1.0000000000000016</v>
      </c>
      <c r="G67">
        <v>-1.0000000000000022</v>
      </c>
      <c r="H67">
        <v>-1.6973677324221884E-15</v>
      </c>
      <c r="I67" s="4">
        <v>0.99999999999999989</v>
      </c>
      <c r="J67">
        <f t="shared" si="0"/>
        <v>6.0000000000000018</v>
      </c>
      <c r="K67">
        <f t="shared" si="1"/>
        <v>6.9999999999999991</v>
      </c>
      <c r="L67">
        <f t="shared" si="2"/>
        <v>5</v>
      </c>
      <c r="M67">
        <f t="shared" si="3"/>
        <v>6</v>
      </c>
      <c r="N67">
        <f t="shared" si="4"/>
        <v>4</v>
      </c>
      <c r="O67">
        <f t="shared" si="5"/>
        <v>6.0000000000000009</v>
      </c>
      <c r="P67">
        <f t="shared" si="6"/>
        <v>6.0000000000000009</v>
      </c>
      <c r="Q67">
        <f t="shared" si="7"/>
        <v>5</v>
      </c>
      <c r="R67">
        <f t="shared" si="8"/>
        <v>7.0000000000000018</v>
      </c>
      <c r="S67" t="str" cm="1">
        <f t="array" ref="S67">_xlfn.TEXTJOIN(", ", TRUE, _xlfn._xlws.FILTER($J$17:$R$17, J67:R67 = MAX(J67:R67)))</f>
        <v>Profile 2, Profile 9</v>
      </c>
    </row>
    <row r="68" spans="1:19" ht="15" thickBot="1" x14ac:dyDescent="0.35">
      <c r="A68">
        <v>51</v>
      </c>
      <c r="B68">
        <v>6.9999999999999991</v>
      </c>
      <c r="C68">
        <v>0.25000000000000194</v>
      </c>
      <c r="D68">
        <v>-1.2499999999999976</v>
      </c>
      <c r="E68">
        <v>-0.99999999999999978</v>
      </c>
      <c r="F68">
        <v>-1.5000000000000016</v>
      </c>
      <c r="G68">
        <v>0.49999999999999961</v>
      </c>
      <c r="H68">
        <v>-1.0000000000000002</v>
      </c>
      <c r="I68" s="4">
        <v>-1.9999999999999984</v>
      </c>
      <c r="J68">
        <f t="shared" si="0"/>
        <v>5.7500000000000018</v>
      </c>
      <c r="K68">
        <f t="shared" si="1"/>
        <v>3.7500000000000018</v>
      </c>
      <c r="L68">
        <f t="shared" si="2"/>
        <v>4.25</v>
      </c>
      <c r="M68">
        <f t="shared" si="3"/>
        <v>4.2500000000000027</v>
      </c>
      <c r="N68">
        <f t="shared" si="4"/>
        <v>5.0000000000000009</v>
      </c>
      <c r="O68">
        <f t="shared" si="5"/>
        <v>3.7500000000000009</v>
      </c>
      <c r="P68">
        <f t="shared" si="6"/>
        <v>6.2500000000000009</v>
      </c>
      <c r="Q68">
        <f t="shared" si="7"/>
        <v>7.7500000000000009</v>
      </c>
      <c r="R68">
        <f t="shared" si="8"/>
        <v>6.2500000000000018</v>
      </c>
      <c r="S68" t="str" cm="1">
        <f t="array" ref="S68">_xlfn.TEXTJOIN(", ", TRUE, _xlfn._xlws.FILTER($J$17:$R$17, J68:R68 = MAX(J68:R68)))</f>
        <v>Profile 8</v>
      </c>
    </row>
    <row r="69" spans="1:19" ht="15" thickBot="1" x14ac:dyDescent="0.35">
      <c r="A69">
        <v>52</v>
      </c>
      <c r="B69">
        <v>6.0000000000000027</v>
      </c>
      <c r="C69">
        <v>-1.6250000000000016</v>
      </c>
      <c r="D69">
        <v>-2.8750000000000013</v>
      </c>
      <c r="E69">
        <v>2.5000000000000004</v>
      </c>
      <c r="F69">
        <v>-0.24999999999999922</v>
      </c>
      <c r="G69">
        <v>1.7500000000000004</v>
      </c>
      <c r="H69">
        <v>1.4999999999999998</v>
      </c>
      <c r="I69" s="4">
        <v>-1.0000000000000009</v>
      </c>
      <c r="J69">
        <f t="shared" si="0"/>
        <v>3.1250000000000013</v>
      </c>
      <c r="K69">
        <f t="shared" si="1"/>
        <v>7.1250000000000018</v>
      </c>
      <c r="L69">
        <f t="shared" si="2"/>
        <v>2.8750000000000022</v>
      </c>
      <c r="M69">
        <f t="shared" si="3"/>
        <v>3.8750000000000009</v>
      </c>
      <c r="N69">
        <f t="shared" si="4"/>
        <v>5.0000000000000018</v>
      </c>
      <c r="O69">
        <f t="shared" si="5"/>
        <v>3.1250000000000009</v>
      </c>
      <c r="P69">
        <f t="shared" si="6"/>
        <v>5.8750000000000009</v>
      </c>
      <c r="Q69">
        <f t="shared" si="7"/>
        <v>6.1250000000000018</v>
      </c>
      <c r="R69">
        <f t="shared" si="8"/>
        <v>6.8750000000000018</v>
      </c>
      <c r="S69" t="str" cm="1">
        <f t="array" ref="S69">_xlfn.TEXTJOIN(", ", TRUE, _xlfn._xlws.FILTER($J$17:$R$17, J69:R69 = MAX(J69:R69)))</f>
        <v>Profile 2</v>
      </c>
    </row>
    <row r="70" spans="1:19" ht="15" thickBot="1" x14ac:dyDescent="0.35">
      <c r="A70">
        <v>53</v>
      </c>
      <c r="B70">
        <v>6.5</v>
      </c>
      <c r="C70">
        <v>-1.6250000000000007</v>
      </c>
      <c r="D70">
        <v>-1.3750000000000011</v>
      </c>
      <c r="E70">
        <v>1</v>
      </c>
      <c r="F70">
        <v>-0.24999999999999978</v>
      </c>
      <c r="G70">
        <v>1.2500000000000002</v>
      </c>
      <c r="H70">
        <v>1.0000000000000004</v>
      </c>
      <c r="I70" s="4">
        <v>0.50000000000000011</v>
      </c>
      <c r="J70">
        <f t="shared" si="0"/>
        <v>5.1249999999999991</v>
      </c>
      <c r="K70">
        <f t="shared" si="1"/>
        <v>7.1249999999999991</v>
      </c>
      <c r="L70">
        <f t="shared" si="2"/>
        <v>4.8749999999999991</v>
      </c>
      <c r="M70">
        <f t="shared" si="3"/>
        <v>6.8749999999999991</v>
      </c>
      <c r="N70">
        <f t="shared" si="4"/>
        <v>7</v>
      </c>
      <c r="O70">
        <f t="shared" si="5"/>
        <v>5.125</v>
      </c>
      <c r="P70">
        <f t="shared" si="6"/>
        <v>5.875</v>
      </c>
      <c r="Q70">
        <f t="shared" si="7"/>
        <v>6.125</v>
      </c>
      <c r="R70">
        <f t="shared" si="8"/>
        <v>5.8749999999999991</v>
      </c>
      <c r="S70" t="str" cm="1">
        <f t="array" ref="S70">_xlfn.TEXTJOIN(", ", TRUE, _xlfn._xlws.FILTER($J$17:$R$17, J70:R70 = MAX(J70:R70)))</f>
        <v>Profile 2</v>
      </c>
    </row>
    <row r="71" spans="1:19" ht="15" thickBot="1" x14ac:dyDescent="0.35">
      <c r="A71">
        <v>54</v>
      </c>
      <c r="B71">
        <v>3.5000000000000004</v>
      </c>
      <c r="C71">
        <v>1.6250000000000007</v>
      </c>
      <c r="D71">
        <v>1.3750000000000004</v>
      </c>
      <c r="E71">
        <v>0.99999999999999911</v>
      </c>
      <c r="F71">
        <v>-2.7500000000000009</v>
      </c>
      <c r="G71">
        <v>0.749999999999999</v>
      </c>
      <c r="H71">
        <v>-7.425983829347074E-16</v>
      </c>
      <c r="I71" s="4">
        <v>0.49999999999999994</v>
      </c>
      <c r="J71">
        <f t="shared" si="0"/>
        <v>4.8750000000000009</v>
      </c>
      <c r="K71">
        <f t="shared" si="1"/>
        <v>5.8749999999999991</v>
      </c>
      <c r="L71">
        <f t="shared" si="2"/>
        <v>2.125</v>
      </c>
      <c r="M71">
        <f t="shared" si="3"/>
        <v>6.125</v>
      </c>
      <c r="N71">
        <f t="shared" si="4"/>
        <v>4</v>
      </c>
      <c r="O71">
        <f t="shared" si="5"/>
        <v>2.875</v>
      </c>
      <c r="P71">
        <f t="shared" si="6"/>
        <v>5.125</v>
      </c>
      <c r="Q71">
        <f t="shared" si="7"/>
        <v>5.875</v>
      </c>
      <c r="R71">
        <f t="shared" si="8"/>
        <v>6.125</v>
      </c>
      <c r="S71" t="str" cm="1">
        <f t="array" ref="S71">_xlfn.TEXTJOIN(", ", TRUE, _xlfn._xlws.FILTER($J$17:$R$17, J71:R71 = MAX(J71:R71)))</f>
        <v>Profile 4, Profile 9</v>
      </c>
    </row>
    <row r="72" spans="1:19" ht="15" thickBot="1" x14ac:dyDescent="0.35">
      <c r="A72">
        <v>55</v>
      </c>
      <c r="B72">
        <v>6.5</v>
      </c>
      <c r="C72">
        <v>-1.1949601791827858E-16</v>
      </c>
      <c r="D72">
        <v>0.49999999999999978</v>
      </c>
      <c r="E72">
        <v>0.49999999999999978</v>
      </c>
      <c r="F72">
        <v>2.2759805439914768E-17</v>
      </c>
      <c r="G72">
        <v>-0.50000000000000011</v>
      </c>
      <c r="H72">
        <v>-0.50000000000000033</v>
      </c>
      <c r="I72" s="4">
        <v>0.49999999999999961</v>
      </c>
      <c r="J72">
        <f t="shared" si="0"/>
        <v>7</v>
      </c>
      <c r="K72">
        <f t="shared" si="1"/>
        <v>6.9999999999999991</v>
      </c>
      <c r="L72">
        <f t="shared" si="2"/>
        <v>7</v>
      </c>
      <c r="M72">
        <f t="shared" si="3"/>
        <v>6.9999999999999991</v>
      </c>
      <c r="N72">
        <f t="shared" si="4"/>
        <v>7</v>
      </c>
      <c r="O72">
        <f t="shared" si="5"/>
        <v>6.9999999999999991</v>
      </c>
      <c r="P72">
        <f t="shared" si="6"/>
        <v>6</v>
      </c>
      <c r="Q72">
        <f t="shared" si="7"/>
        <v>6</v>
      </c>
      <c r="R72">
        <f t="shared" si="8"/>
        <v>7</v>
      </c>
      <c r="S72" t="str" cm="1">
        <f t="array" ref="S72">_xlfn.TEXTJOIN(", ", TRUE, _xlfn._xlws.FILTER($J$17:$R$17, J72:R72 = MAX(J72:R72)))</f>
        <v>Profile 1, Profile 2, Profile 3, Profile 4, Profile 5, Profile 6, Profile 9</v>
      </c>
    </row>
    <row r="73" spans="1:19" ht="15" thickBot="1" x14ac:dyDescent="0.35">
      <c r="A73">
        <v>56</v>
      </c>
      <c r="B73">
        <v>6.0000000000000009</v>
      </c>
      <c r="C73">
        <v>-1.6250000000000018</v>
      </c>
      <c r="D73">
        <v>-1.8750000000000016</v>
      </c>
      <c r="E73">
        <v>1.5</v>
      </c>
      <c r="F73">
        <v>1.7500000000000004</v>
      </c>
      <c r="G73">
        <v>2.7500000000000004</v>
      </c>
      <c r="H73">
        <v>0.50000000000000056</v>
      </c>
      <c r="I73" s="4">
        <v>-6.3603777714809761E-16</v>
      </c>
      <c r="J73">
        <f t="shared" si="0"/>
        <v>4.1249999999999991</v>
      </c>
      <c r="K73">
        <f t="shared" si="1"/>
        <v>6.125</v>
      </c>
      <c r="L73">
        <f t="shared" si="2"/>
        <v>5.875</v>
      </c>
      <c r="M73">
        <f t="shared" si="3"/>
        <v>6.8749999999999991</v>
      </c>
      <c r="N73">
        <f t="shared" si="4"/>
        <v>6</v>
      </c>
      <c r="O73">
        <f t="shared" si="5"/>
        <v>6.1249999999999991</v>
      </c>
      <c r="P73">
        <f t="shared" si="6"/>
        <v>4.875</v>
      </c>
      <c r="Q73">
        <f t="shared" si="7"/>
        <v>7.125</v>
      </c>
      <c r="R73">
        <f t="shared" si="8"/>
        <v>5.8749999999999991</v>
      </c>
      <c r="S73" t="str" cm="1">
        <f t="array" ref="S73">_xlfn.TEXTJOIN(", ", TRUE, _xlfn._xlws.FILTER($J$17:$R$17, J73:R73 = MAX(J73:R73)))</f>
        <v>Profile 8</v>
      </c>
    </row>
    <row r="74" spans="1:19" ht="15" thickBot="1" x14ac:dyDescent="0.35">
      <c r="A74">
        <v>57</v>
      </c>
      <c r="B74">
        <v>5.5</v>
      </c>
      <c r="C74">
        <v>1.3750000000000004</v>
      </c>
      <c r="D74">
        <v>0.62500000000000033</v>
      </c>
      <c r="E74">
        <v>-1.5840491105667679E-16</v>
      </c>
      <c r="F74">
        <v>-1.2500000000000002</v>
      </c>
      <c r="G74">
        <v>-0.75000000000000056</v>
      </c>
      <c r="H74">
        <v>-1.0000000000000002</v>
      </c>
      <c r="I74" s="4">
        <v>-0.49999999999999994</v>
      </c>
      <c r="J74">
        <f t="shared" si="0"/>
        <v>6.125</v>
      </c>
      <c r="K74">
        <f t="shared" si="1"/>
        <v>5.125</v>
      </c>
      <c r="L74">
        <f t="shared" si="2"/>
        <v>4.875</v>
      </c>
      <c r="M74">
        <f t="shared" si="3"/>
        <v>4.875</v>
      </c>
      <c r="N74">
        <f t="shared" si="4"/>
        <v>5</v>
      </c>
      <c r="O74">
        <f t="shared" si="5"/>
        <v>5.125</v>
      </c>
      <c r="P74">
        <f t="shared" si="6"/>
        <v>5.875</v>
      </c>
      <c r="Q74">
        <f t="shared" si="7"/>
        <v>6.125</v>
      </c>
      <c r="R74">
        <f t="shared" si="8"/>
        <v>6.875</v>
      </c>
      <c r="S74" t="str" cm="1">
        <f t="array" ref="S74">_xlfn.TEXTJOIN(", ", TRUE, _xlfn._xlws.FILTER($J$17:$R$17, J74:R74 = MAX(J74:R74)))</f>
        <v>Profile 9</v>
      </c>
    </row>
    <row r="75" spans="1:19" ht="15" thickBot="1" x14ac:dyDescent="0.35">
      <c r="A75">
        <v>58</v>
      </c>
      <c r="B75">
        <v>2.9999999999999996</v>
      </c>
      <c r="C75">
        <v>1.3750000000000018</v>
      </c>
      <c r="D75">
        <v>1.1250000000000013</v>
      </c>
      <c r="E75">
        <v>0.49999999999999928</v>
      </c>
      <c r="F75">
        <v>0.74999999999999856</v>
      </c>
      <c r="G75">
        <v>-1.2500000000000013</v>
      </c>
      <c r="H75">
        <v>0.49999999999999928</v>
      </c>
      <c r="I75" s="4">
        <v>1.113066110009171E-15</v>
      </c>
      <c r="J75">
        <f t="shared" si="0"/>
        <v>4.1250000000000009</v>
      </c>
      <c r="K75">
        <f t="shared" si="1"/>
        <v>5.125</v>
      </c>
      <c r="L75">
        <f t="shared" si="2"/>
        <v>4.875</v>
      </c>
      <c r="M75">
        <f t="shared" si="3"/>
        <v>2.8750000000000009</v>
      </c>
      <c r="N75">
        <f t="shared" si="4"/>
        <v>3.0000000000000009</v>
      </c>
      <c r="O75">
        <f t="shared" si="5"/>
        <v>5.1250000000000018</v>
      </c>
      <c r="P75">
        <f t="shared" si="6"/>
        <v>4.8750000000000009</v>
      </c>
      <c r="Q75">
        <f t="shared" si="7"/>
        <v>3.125</v>
      </c>
      <c r="R75">
        <f t="shared" si="8"/>
        <v>4.8750000000000009</v>
      </c>
      <c r="S75" t="str" cm="1">
        <f t="array" ref="S75">_xlfn.TEXTJOIN(", ", TRUE, _xlfn._xlws.FILTER($J$17:$R$17, J75:R75 = MAX(J75:R75)))</f>
        <v>Profile 2, Profile 6</v>
      </c>
    </row>
    <row r="76" spans="1:19" ht="15" thickBot="1" x14ac:dyDescent="0.35">
      <c r="A76">
        <v>59</v>
      </c>
      <c r="B76">
        <v>6.0000000000000027</v>
      </c>
      <c r="C76">
        <v>-1.2500000000000013</v>
      </c>
      <c r="D76">
        <v>-1.7500000000000027</v>
      </c>
      <c r="E76">
        <v>2.9999999999999991</v>
      </c>
      <c r="F76">
        <v>-2.4999999999999991</v>
      </c>
      <c r="G76">
        <v>1.5000000000000002</v>
      </c>
      <c r="H76">
        <v>-1.0000000000000002</v>
      </c>
      <c r="I76" s="4">
        <v>-2.0000000000000004</v>
      </c>
      <c r="J76">
        <f t="shared" si="0"/>
        <v>4.25</v>
      </c>
      <c r="K76">
        <f t="shared" si="1"/>
        <v>6.2499999999999991</v>
      </c>
      <c r="L76">
        <f t="shared" si="2"/>
        <v>1.7500000000000009</v>
      </c>
      <c r="M76">
        <f t="shared" si="3"/>
        <v>3.75</v>
      </c>
      <c r="N76">
        <f t="shared" si="4"/>
        <v>4.0000000000000018</v>
      </c>
      <c r="O76">
        <f t="shared" si="5"/>
        <v>0.25000000000000178</v>
      </c>
      <c r="P76">
        <f t="shared" si="6"/>
        <v>3.7500000000000009</v>
      </c>
      <c r="Q76">
        <f t="shared" si="7"/>
        <v>6.2500000000000018</v>
      </c>
      <c r="R76">
        <f t="shared" si="8"/>
        <v>7.75</v>
      </c>
      <c r="S76" t="str" cm="1">
        <f t="array" ref="S76">_xlfn.TEXTJOIN(", ", TRUE, _xlfn._xlws.FILTER($J$17:$R$17, J76:R76 = MAX(J76:R76)))</f>
        <v>Profile 9</v>
      </c>
    </row>
    <row r="77" spans="1:19" ht="15" thickBot="1" x14ac:dyDescent="0.35">
      <c r="A77">
        <v>60</v>
      </c>
      <c r="B77">
        <v>6.5000000000000036</v>
      </c>
      <c r="C77">
        <v>-3.7500000000000044</v>
      </c>
      <c r="D77">
        <v>-3.7500000000000049</v>
      </c>
      <c r="E77">
        <v>3.5</v>
      </c>
      <c r="F77">
        <v>-1.4999999999999969</v>
      </c>
      <c r="G77">
        <v>4.0000000000000009</v>
      </c>
      <c r="H77">
        <v>-0.49999999999999872</v>
      </c>
      <c r="I77" s="4">
        <v>0.49999999999999767</v>
      </c>
      <c r="J77">
        <f t="shared" si="0"/>
        <v>2.7499999999999987</v>
      </c>
      <c r="K77">
        <f t="shared" si="1"/>
        <v>5.75</v>
      </c>
      <c r="L77">
        <f t="shared" si="2"/>
        <v>1.2500000000000018</v>
      </c>
      <c r="M77">
        <f t="shared" si="3"/>
        <v>7.2499999999999973</v>
      </c>
      <c r="N77">
        <f t="shared" si="4"/>
        <v>7.0000000000000009</v>
      </c>
      <c r="O77">
        <f t="shared" si="5"/>
        <v>1.7499999999999991</v>
      </c>
      <c r="P77">
        <f t="shared" si="6"/>
        <v>2.25</v>
      </c>
      <c r="Q77">
        <f t="shared" si="7"/>
        <v>6.75</v>
      </c>
      <c r="R77">
        <f t="shared" si="8"/>
        <v>6.2499999999999991</v>
      </c>
      <c r="S77" t="str" cm="1">
        <f t="array" ref="S77">_xlfn.TEXTJOIN(", ", TRUE, _xlfn._xlws.FILTER($J$17:$R$17, J77:R77 = MAX(J77:R77)))</f>
        <v>Profile 4</v>
      </c>
    </row>
    <row r="78" spans="1:19" ht="15" thickBot="1" x14ac:dyDescent="0.35">
      <c r="A78">
        <v>61</v>
      </c>
      <c r="B78">
        <v>3.0000000000000009</v>
      </c>
      <c r="C78">
        <v>0.74999999999999967</v>
      </c>
      <c r="D78">
        <v>0.249999999999999</v>
      </c>
      <c r="E78">
        <v>1.9999999999999996</v>
      </c>
      <c r="F78">
        <v>2.5000000000000004</v>
      </c>
      <c r="G78">
        <v>2.5</v>
      </c>
      <c r="H78">
        <v>0.99999999999999978</v>
      </c>
      <c r="I78" s="4">
        <v>0.99999999999999922</v>
      </c>
      <c r="J78">
        <f t="shared" si="0"/>
        <v>3.25</v>
      </c>
      <c r="K78">
        <f t="shared" si="1"/>
        <v>6.2499999999999991</v>
      </c>
      <c r="L78">
        <f t="shared" si="2"/>
        <v>5.75</v>
      </c>
      <c r="M78">
        <f t="shared" si="3"/>
        <v>6.7499999999999991</v>
      </c>
      <c r="N78">
        <f t="shared" si="4"/>
        <v>4</v>
      </c>
      <c r="O78">
        <f t="shared" si="5"/>
        <v>7.25</v>
      </c>
      <c r="P78">
        <f t="shared" si="6"/>
        <v>4.75</v>
      </c>
      <c r="Q78">
        <f t="shared" si="7"/>
        <v>6.25</v>
      </c>
      <c r="R78">
        <f t="shared" si="8"/>
        <v>5.75</v>
      </c>
      <c r="S78" t="str" cm="1">
        <f t="array" ref="S78">_xlfn.TEXTJOIN(", ", TRUE, _xlfn._xlws.FILTER($J$17:$R$17, J78:R78 = MAX(J78:R78)))</f>
        <v>Profile 6</v>
      </c>
    </row>
    <row r="79" spans="1:19" ht="15" thickBot="1" x14ac:dyDescent="0.35">
      <c r="A79">
        <v>62</v>
      </c>
      <c r="B79">
        <v>6</v>
      </c>
      <c r="C79">
        <v>-1.0000000000000011</v>
      </c>
      <c r="D79">
        <v>-1.0000000000000013</v>
      </c>
      <c r="E79">
        <v>1.9999999999999996</v>
      </c>
      <c r="F79">
        <v>1.0000000000000004</v>
      </c>
      <c r="G79">
        <v>2.0000000000000004</v>
      </c>
      <c r="H79">
        <v>2.6521370819096693E-17</v>
      </c>
      <c r="I79" s="4">
        <v>-5.5653305500458549E-16</v>
      </c>
      <c r="J79">
        <f t="shared" si="0"/>
        <v>4.9999999999999982</v>
      </c>
      <c r="K79">
        <f t="shared" si="1"/>
        <v>6.9999999999999982</v>
      </c>
      <c r="L79">
        <f t="shared" si="2"/>
        <v>5.9999999999999991</v>
      </c>
      <c r="M79">
        <f t="shared" si="3"/>
        <v>6.9999999999999982</v>
      </c>
      <c r="N79">
        <f t="shared" si="4"/>
        <v>5.9999999999999991</v>
      </c>
      <c r="O79">
        <f t="shared" si="5"/>
        <v>5.9999999999999991</v>
      </c>
      <c r="P79">
        <f t="shared" si="6"/>
        <v>4.9999999999999991</v>
      </c>
      <c r="Q79">
        <f t="shared" si="7"/>
        <v>6.9999999999999991</v>
      </c>
      <c r="R79">
        <f t="shared" si="8"/>
        <v>6.9999999999999982</v>
      </c>
      <c r="S79" t="str" cm="1">
        <f t="array" ref="S79">_xlfn.TEXTJOIN(", ", TRUE, _xlfn._xlws.FILTER($J$17:$R$17, J79:R79 = MAX(J79:R79)))</f>
        <v>Profile 2, Profile 4, Profile 8, Profile 9</v>
      </c>
    </row>
  </sheetData>
  <conditionalFormatting sqref="J18:R79">
    <cfRule type="expression" dxfId="0" priority="1">
      <formula>J18=MAX($J$18:$R$18)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F3C13-2E5F-47D5-887B-B3B3E19897D6}">
  <dimension ref="A1:B5"/>
  <sheetViews>
    <sheetView workbookViewId="0">
      <selection activeCell="G24" sqref="G24"/>
    </sheetView>
  </sheetViews>
  <sheetFormatPr defaultRowHeight="14.4" x14ac:dyDescent="0.3"/>
  <cols>
    <col min="1" max="1" width="10.88671875" bestFit="1" customWidth="1"/>
    <col min="2" max="2" width="22.44140625" bestFit="1" customWidth="1"/>
  </cols>
  <sheetData>
    <row r="1" spans="1:2" x14ac:dyDescent="0.3">
      <c r="A1" t="s">
        <v>74</v>
      </c>
      <c r="B1" t="s">
        <v>80</v>
      </c>
    </row>
    <row r="2" spans="1:2" x14ac:dyDescent="0.3">
      <c r="A2" t="s">
        <v>5</v>
      </c>
      <c r="B2">
        <v>14</v>
      </c>
    </row>
    <row r="3" spans="1:2" x14ac:dyDescent="0.3">
      <c r="A3" t="s">
        <v>6</v>
      </c>
      <c r="B3">
        <v>29</v>
      </c>
    </row>
    <row r="4" spans="1:2" x14ac:dyDescent="0.3">
      <c r="A4" t="s">
        <v>4</v>
      </c>
      <c r="B4">
        <v>20</v>
      </c>
    </row>
    <row r="5" spans="1:2" x14ac:dyDescent="0.3">
      <c r="A5" t="s">
        <v>38</v>
      </c>
      <c r="B5">
        <v>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27692-69DA-4D0E-80FB-086619196F0B}">
  <dimension ref="A1:B5"/>
  <sheetViews>
    <sheetView workbookViewId="0">
      <selection activeCell="K4" sqref="K4"/>
    </sheetView>
  </sheetViews>
  <sheetFormatPr defaultRowHeight="14.4" x14ac:dyDescent="0.3"/>
  <cols>
    <col min="1" max="1" width="11.33203125" bestFit="1" customWidth="1"/>
    <col min="2" max="2" width="21.21875" bestFit="1" customWidth="1"/>
  </cols>
  <sheetData>
    <row r="1" spans="1:2" x14ac:dyDescent="0.3">
      <c r="A1" t="s">
        <v>74</v>
      </c>
      <c r="B1" t="s">
        <v>85</v>
      </c>
    </row>
    <row r="2" spans="1:2" x14ac:dyDescent="0.3">
      <c r="A2" t="s">
        <v>7</v>
      </c>
      <c r="B2">
        <v>25</v>
      </c>
    </row>
    <row r="3" spans="1:2" x14ac:dyDescent="0.3">
      <c r="A3" t="s">
        <v>36</v>
      </c>
      <c r="B3">
        <v>20</v>
      </c>
    </row>
    <row r="4" spans="1:2" x14ac:dyDescent="0.3">
      <c r="A4" t="s">
        <v>41</v>
      </c>
      <c r="B4">
        <v>20</v>
      </c>
    </row>
    <row r="5" spans="1:2" x14ac:dyDescent="0.3">
      <c r="A5" t="s">
        <v>9</v>
      </c>
      <c r="B5">
        <v>20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5C7AD-84EE-40D1-9F85-01F2D8F35879}">
  <dimension ref="A1:P141"/>
  <sheetViews>
    <sheetView workbookViewId="0">
      <selection activeCell="P20" sqref="P20"/>
    </sheetView>
  </sheetViews>
  <sheetFormatPr defaultRowHeight="14.4" x14ac:dyDescent="0.3"/>
  <cols>
    <col min="1" max="1" width="16.88671875" bestFit="1" customWidth="1"/>
    <col min="2" max="2" width="11.88671875" bestFit="1" customWidth="1"/>
  </cols>
  <sheetData>
    <row r="1" spans="1:2" x14ac:dyDescent="0.3">
      <c r="A1" t="s">
        <v>74</v>
      </c>
      <c r="B1" t="s">
        <v>75</v>
      </c>
    </row>
    <row r="2" spans="1:2" x14ac:dyDescent="0.3">
      <c r="A2" t="s">
        <v>64</v>
      </c>
      <c r="B2">
        <v>21</v>
      </c>
    </row>
    <row r="3" spans="1:2" x14ac:dyDescent="0.3">
      <c r="A3" t="s">
        <v>65</v>
      </c>
      <c r="B3">
        <v>17</v>
      </c>
    </row>
    <row r="4" spans="1:2" x14ac:dyDescent="0.3">
      <c r="A4" t="s">
        <v>60</v>
      </c>
      <c r="B4">
        <v>14</v>
      </c>
    </row>
    <row r="5" spans="1:2" x14ac:dyDescent="0.3">
      <c r="A5" t="s">
        <v>61</v>
      </c>
      <c r="B5">
        <v>5</v>
      </c>
    </row>
    <row r="6" spans="1:2" x14ac:dyDescent="0.3">
      <c r="A6" t="s">
        <v>62</v>
      </c>
      <c r="B6">
        <v>14</v>
      </c>
    </row>
    <row r="7" spans="1:2" x14ac:dyDescent="0.3">
      <c r="A7" t="s">
        <v>59</v>
      </c>
      <c r="B7">
        <v>8</v>
      </c>
    </row>
    <row r="8" spans="1:2" x14ac:dyDescent="0.3">
      <c r="A8" t="s">
        <v>57</v>
      </c>
      <c r="B8">
        <v>4</v>
      </c>
    </row>
    <row r="9" spans="1:2" x14ac:dyDescent="0.3">
      <c r="A9" t="s">
        <v>58</v>
      </c>
      <c r="B9">
        <v>14</v>
      </c>
    </row>
    <row r="10" spans="1:2" x14ac:dyDescent="0.3">
      <c r="A10" t="s">
        <v>63</v>
      </c>
      <c r="B10">
        <v>2</v>
      </c>
    </row>
    <row r="20" spans="1:16" x14ac:dyDescent="0.3">
      <c r="P20" t="s">
        <v>72</v>
      </c>
    </row>
    <row r="23" spans="1:16" x14ac:dyDescent="0.3">
      <c r="A23" t="s">
        <v>74</v>
      </c>
    </row>
    <row r="24" spans="1:16" x14ac:dyDescent="0.3">
      <c r="A24" t="s">
        <v>43</v>
      </c>
    </row>
    <row r="25" spans="1:16" x14ac:dyDescent="0.3">
      <c r="A25" t="s">
        <v>76</v>
      </c>
    </row>
    <row r="26" spans="1:16" x14ac:dyDescent="0.3">
      <c r="A26" t="s">
        <v>4</v>
      </c>
    </row>
    <row r="27" spans="1:16" x14ac:dyDescent="0.3">
      <c r="A27" t="s">
        <v>6</v>
      </c>
    </row>
    <row r="28" spans="1:16" x14ac:dyDescent="0.3">
      <c r="A28" t="s">
        <v>4</v>
      </c>
    </row>
    <row r="29" spans="1:16" x14ac:dyDescent="0.3">
      <c r="A29" t="s">
        <v>76</v>
      </c>
    </row>
    <row r="30" spans="1:16" x14ac:dyDescent="0.3">
      <c r="A30" t="s">
        <v>6</v>
      </c>
    </row>
    <row r="31" spans="1:16" x14ac:dyDescent="0.3">
      <c r="A31" t="s">
        <v>5</v>
      </c>
    </row>
    <row r="32" spans="1:16" x14ac:dyDescent="0.3">
      <c r="A32" t="s">
        <v>38</v>
      </c>
    </row>
    <row r="33" spans="1:1" x14ac:dyDescent="0.3">
      <c r="A33" t="s">
        <v>76</v>
      </c>
    </row>
    <row r="34" spans="1:1" x14ac:dyDescent="0.3">
      <c r="A34" t="s">
        <v>6</v>
      </c>
    </row>
    <row r="35" spans="1:1" x14ac:dyDescent="0.3">
      <c r="A35" t="s">
        <v>76</v>
      </c>
    </row>
    <row r="36" spans="1:1" x14ac:dyDescent="0.3">
      <c r="A36" t="s">
        <v>6</v>
      </c>
    </row>
    <row r="37" spans="1:1" x14ac:dyDescent="0.3">
      <c r="A37" t="s">
        <v>77</v>
      </c>
    </row>
    <row r="38" spans="1:1" x14ac:dyDescent="0.3">
      <c r="A38" t="s">
        <v>6</v>
      </c>
    </row>
    <row r="39" spans="1:1" x14ac:dyDescent="0.3">
      <c r="A39" t="s">
        <v>6</v>
      </c>
    </row>
    <row r="40" spans="1:1" x14ac:dyDescent="0.3">
      <c r="A40" t="s">
        <v>4</v>
      </c>
    </row>
    <row r="41" spans="1:1" x14ac:dyDescent="0.3">
      <c r="A41" t="s">
        <v>4</v>
      </c>
    </row>
    <row r="42" spans="1:1" x14ac:dyDescent="0.3">
      <c r="A42" t="s">
        <v>4</v>
      </c>
    </row>
    <row r="43" spans="1:1" x14ac:dyDescent="0.3">
      <c r="A43" t="s">
        <v>5</v>
      </c>
    </row>
    <row r="44" spans="1:1" x14ac:dyDescent="0.3">
      <c r="A44" t="s">
        <v>6</v>
      </c>
    </row>
    <row r="45" spans="1:1" x14ac:dyDescent="0.3">
      <c r="A45" t="s">
        <v>6</v>
      </c>
    </row>
    <row r="46" spans="1:1" x14ac:dyDescent="0.3">
      <c r="A46" t="s">
        <v>6</v>
      </c>
    </row>
    <row r="47" spans="1:1" x14ac:dyDescent="0.3">
      <c r="A47" t="s">
        <v>5</v>
      </c>
    </row>
    <row r="48" spans="1:1" x14ac:dyDescent="0.3">
      <c r="A48" t="s">
        <v>78</v>
      </c>
    </row>
    <row r="49" spans="1:1" x14ac:dyDescent="0.3">
      <c r="A49" t="s">
        <v>5</v>
      </c>
    </row>
    <row r="50" spans="1:1" x14ac:dyDescent="0.3">
      <c r="A50" t="s">
        <v>6</v>
      </c>
    </row>
    <row r="51" spans="1:1" x14ac:dyDescent="0.3">
      <c r="A51" t="s">
        <v>38</v>
      </c>
    </row>
    <row r="52" spans="1:1" x14ac:dyDescent="0.3">
      <c r="A52" t="s">
        <v>4</v>
      </c>
    </row>
    <row r="53" spans="1:1" x14ac:dyDescent="0.3">
      <c r="A53" t="s">
        <v>4</v>
      </c>
    </row>
    <row r="54" spans="1:1" x14ac:dyDescent="0.3">
      <c r="A54" t="s">
        <v>6</v>
      </c>
    </row>
    <row r="55" spans="1:1" x14ac:dyDescent="0.3">
      <c r="A55" t="s">
        <v>5</v>
      </c>
    </row>
    <row r="56" spans="1:1" x14ac:dyDescent="0.3">
      <c r="A56" t="s">
        <v>6</v>
      </c>
    </row>
    <row r="57" spans="1:1" x14ac:dyDescent="0.3">
      <c r="A57" t="s">
        <v>38</v>
      </c>
    </row>
    <row r="58" spans="1:1" x14ac:dyDescent="0.3">
      <c r="A58" t="s">
        <v>5</v>
      </c>
    </row>
    <row r="59" spans="1:1" x14ac:dyDescent="0.3">
      <c r="A59" t="s">
        <v>6</v>
      </c>
    </row>
    <row r="60" spans="1:1" x14ac:dyDescent="0.3">
      <c r="A60" t="s">
        <v>6</v>
      </c>
    </row>
    <row r="61" spans="1:1" x14ac:dyDescent="0.3">
      <c r="A61" t="s">
        <v>4</v>
      </c>
    </row>
    <row r="62" spans="1:1" x14ac:dyDescent="0.3">
      <c r="A62" t="s">
        <v>77</v>
      </c>
    </row>
    <row r="63" spans="1:1" x14ac:dyDescent="0.3">
      <c r="A63" t="s">
        <v>6</v>
      </c>
    </row>
    <row r="64" spans="1:1" x14ac:dyDescent="0.3">
      <c r="A64" t="s">
        <v>4</v>
      </c>
    </row>
    <row r="65" spans="1:1" x14ac:dyDescent="0.3">
      <c r="A65" t="s">
        <v>4</v>
      </c>
    </row>
    <row r="66" spans="1:1" x14ac:dyDescent="0.3">
      <c r="A66" t="s">
        <v>5</v>
      </c>
    </row>
    <row r="67" spans="1:1" x14ac:dyDescent="0.3">
      <c r="A67" t="s">
        <v>77</v>
      </c>
    </row>
    <row r="68" spans="1:1" x14ac:dyDescent="0.3">
      <c r="A68" t="s">
        <v>6</v>
      </c>
    </row>
    <row r="69" spans="1:1" x14ac:dyDescent="0.3">
      <c r="A69" t="s">
        <v>4</v>
      </c>
    </row>
    <row r="70" spans="1:1" x14ac:dyDescent="0.3">
      <c r="A70" t="s">
        <v>6</v>
      </c>
    </row>
    <row r="71" spans="1:1" x14ac:dyDescent="0.3">
      <c r="A71" t="s">
        <v>4</v>
      </c>
    </row>
    <row r="72" spans="1:1" x14ac:dyDescent="0.3">
      <c r="A72" t="s">
        <v>6</v>
      </c>
    </row>
    <row r="73" spans="1:1" x14ac:dyDescent="0.3">
      <c r="A73" t="s">
        <v>4</v>
      </c>
    </row>
    <row r="74" spans="1:1" x14ac:dyDescent="0.3">
      <c r="A74" t="s">
        <v>4</v>
      </c>
    </row>
    <row r="75" spans="1:1" x14ac:dyDescent="0.3">
      <c r="A75" t="s">
        <v>6</v>
      </c>
    </row>
    <row r="76" spans="1:1" x14ac:dyDescent="0.3">
      <c r="A76" t="s">
        <v>79</v>
      </c>
    </row>
    <row r="77" spans="1:1" x14ac:dyDescent="0.3">
      <c r="A77" t="s">
        <v>5</v>
      </c>
    </row>
    <row r="78" spans="1:1" x14ac:dyDescent="0.3">
      <c r="A78" t="s">
        <v>4</v>
      </c>
    </row>
    <row r="79" spans="1:1" x14ac:dyDescent="0.3">
      <c r="A79" t="s">
        <v>6</v>
      </c>
    </row>
    <row r="80" spans="1:1" x14ac:dyDescent="0.3">
      <c r="A80" t="s">
        <v>76</v>
      </c>
    </row>
    <row r="81" spans="1:1" x14ac:dyDescent="0.3">
      <c r="A81" t="s">
        <v>77</v>
      </c>
    </row>
    <row r="84" spans="1:1" x14ac:dyDescent="0.3">
      <c r="A84" t="s">
        <v>74</v>
      </c>
    </row>
    <row r="85" spans="1:1" x14ac:dyDescent="0.3">
      <c r="A85" t="s">
        <v>7</v>
      </c>
    </row>
    <row r="86" spans="1:1" x14ac:dyDescent="0.3">
      <c r="A86" t="s">
        <v>81</v>
      </c>
    </row>
    <row r="87" spans="1:1" x14ac:dyDescent="0.3">
      <c r="A87" t="s">
        <v>7</v>
      </c>
    </row>
    <row r="88" spans="1:1" x14ac:dyDescent="0.3">
      <c r="A88" t="s">
        <v>82</v>
      </c>
    </row>
    <row r="89" spans="1:1" x14ac:dyDescent="0.3">
      <c r="A89" t="s">
        <v>7</v>
      </c>
    </row>
    <row r="90" spans="1:1" x14ac:dyDescent="0.3">
      <c r="A90" t="s">
        <v>81</v>
      </c>
    </row>
    <row r="91" spans="1:1" x14ac:dyDescent="0.3">
      <c r="A91" t="s">
        <v>7</v>
      </c>
    </row>
    <row r="92" spans="1:1" x14ac:dyDescent="0.3">
      <c r="A92" t="s">
        <v>83</v>
      </c>
    </row>
    <row r="93" spans="1:1" x14ac:dyDescent="0.3">
      <c r="A93" t="s">
        <v>9</v>
      </c>
    </row>
    <row r="94" spans="1:1" x14ac:dyDescent="0.3">
      <c r="A94" t="s">
        <v>84</v>
      </c>
    </row>
    <row r="95" spans="1:1" x14ac:dyDescent="0.3">
      <c r="A95" t="s">
        <v>7</v>
      </c>
    </row>
    <row r="96" spans="1:1" x14ac:dyDescent="0.3">
      <c r="A96" t="s">
        <v>84</v>
      </c>
    </row>
    <row r="97" spans="1:1" x14ac:dyDescent="0.3">
      <c r="A97" t="s">
        <v>7</v>
      </c>
    </row>
    <row r="98" spans="1:1" x14ac:dyDescent="0.3">
      <c r="A98" t="s">
        <v>9</v>
      </c>
    </row>
    <row r="99" spans="1:1" x14ac:dyDescent="0.3">
      <c r="A99" t="s">
        <v>7</v>
      </c>
    </row>
    <row r="100" spans="1:1" x14ac:dyDescent="0.3">
      <c r="A100" t="s">
        <v>81</v>
      </c>
    </row>
    <row r="101" spans="1:1" x14ac:dyDescent="0.3">
      <c r="A101" t="s">
        <v>9</v>
      </c>
    </row>
    <row r="102" spans="1:1" x14ac:dyDescent="0.3">
      <c r="A102" t="s">
        <v>81</v>
      </c>
    </row>
    <row r="103" spans="1:1" x14ac:dyDescent="0.3">
      <c r="A103" t="s">
        <v>84</v>
      </c>
    </row>
    <row r="104" spans="1:1" x14ac:dyDescent="0.3">
      <c r="A104" t="s">
        <v>81</v>
      </c>
    </row>
    <row r="105" spans="1:1" x14ac:dyDescent="0.3">
      <c r="A105" t="s">
        <v>84</v>
      </c>
    </row>
    <row r="106" spans="1:1" x14ac:dyDescent="0.3">
      <c r="A106" t="s">
        <v>81</v>
      </c>
    </row>
    <row r="107" spans="1:1" x14ac:dyDescent="0.3">
      <c r="A107" t="s">
        <v>7</v>
      </c>
    </row>
    <row r="108" spans="1:1" x14ac:dyDescent="0.3">
      <c r="A108" t="s">
        <v>82</v>
      </c>
    </row>
    <row r="109" spans="1:1" x14ac:dyDescent="0.3">
      <c r="A109" t="s">
        <v>9</v>
      </c>
    </row>
    <row r="110" spans="1:1" x14ac:dyDescent="0.3">
      <c r="A110" t="s">
        <v>7</v>
      </c>
    </row>
    <row r="111" spans="1:1" x14ac:dyDescent="0.3">
      <c r="A111" t="s">
        <v>9</v>
      </c>
    </row>
    <row r="112" spans="1:1" x14ac:dyDescent="0.3">
      <c r="A112" t="s">
        <v>81</v>
      </c>
    </row>
    <row r="113" spans="1:1" x14ac:dyDescent="0.3">
      <c r="A113" t="s">
        <v>81</v>
      </c>
    </row>
    <row r="114" spans="1:1" x14ac:dyDescent="0.3">
      <c r="A114" t="s">
        <v>9</v>
      </c>
    </row>
    <row r="115" spans="1:1" x14ac:dyDescent="0.3">
      <c r="A115" t="s">
        <v>7</v>
      </c>
    </row>
    <row r="116" spans="1:1" x14ac:dyDescent="0.3">
      <c r="A116" t="s">
        <v>9</v>
      </c>
    </row>
    <row r="117" spans="1:1" x14ac:dyDescent="0.3">
      <c r="A117" t="s">
        <v>83</v>
      </c>
    </row>
    <row r="118" spans="1:1" x14ac:dyDescent="0.3">
      <c r="A118" t="s">
        <v>9</v>
      </c>
    </row>
    <row r="119" spans="1:1" x14ac:dyDescent="0.3">
      <c r="A119" t="s">
        <v>81</v>
      </c>
    </row>
    <row r="120" spans="1:1" x14ac:dyDescent="0.3">
      <c r="A120" t="s">
        <v>9</v>
      </c>
    </row>
    <row r="121" spans="1:1" x14ac:dyDescent="0.3">
      <c r="A121" t="s">
        <v>81</v>
      </c>
    </row>
    <row r="122" spans="1:1" x14ac:dyDescent="0.3">
      <c r="A122" t="s">
        <v>9</v>
      </c>
    </row>
    <row r="123" spans="1:1" x14ac:dyDescent="0.3">
      <c r="A123" t="s">
        <v>7</v>
      </c>
    </row>
    <row r="124" spans="1:1" x14ac:dyDescent="0.3">
      <c r="A124" t="s">
        <v>7</v>
      </c>
    </row>
    <row r="125" spans="1:1" x14ac:dyDescent="0.3">
      <c r="A125" t="s">
        <v>81</v>
      </c>
    </row>
    <row r="126" spans="1:1" x14ac:dyDescent="0.3">
      <c r="A126" t="s">
        <v>9</v>
      </c>
    </row>
    <row r="127" spans="1:1" x14ac:dyDescent="0.3">
      <c r="A127" t="s">
        <v>7</v>
      </c>
    </row>
    <row r="128" spans="1:1" x14ac:dyDescent="0.3">
      <c r="A128" t="s">
        <v>9</v>
      </c>
    </row>
    <row r="129" spans="1:1" x14ac:dyDescent="0.3">
      <c r="A129" t="s">
        <v>9</v>
      </c>
    </row>
    <row r="130" spans="1:1" x14ac:dyDescent="0.3">
      <c r="A130" t="s">
        <v>81</v>
      </c>
    </row>
    <row r="131" spans="1:1" x14ac:dyDescent="0.3">
      <c r="A131" t="s">
        <v>7</v>
      </c>
    </row>
    <row r="132" spans="1:1" x14ac:dyDescent="0.3">
      <c r="A132" t="s">
        <v>7</v>
      </c>
    </row>
    <row r="133" spans="1:1" x14ac:dyDescent="0.3">
      <c r="A133" t="s">
        <v>9</v>
      </c>
    </row>
    <row r="134" spans="1:1" x14ac:dyDescent="0.3">
      <c r="A134" t="s">
        <v>9</v>
      </c>
    </row>
    <row r="135" spans="1:1" x14ac:dyDescent="0.3">
      <c r="A135" t="s">
        <v>7</v>
      </c>
    </row>
    <row r="136" spans="1:1" x14ac:dyDescent="0.3">
      <c r="A136" t="s">
        <v>81</v>
      </c>
    </row>
    <row r="137" spans="1:1" x14ac:dyDescent="0.3">
      <c r="A137" t="s">
        <v>7</v>
      </c>
    </row>
    <row r="138" spans="1:1" x14ac:dyDescent="0.3">
      <c r="A138" t="s">
        <v>81</v>
      </c>
    </row>
    <row r="139" spans="1:1" x14ac:dyDescent="0.3">
      <c r="A139" t="s">
        <v>9</v>
      </c>
    </row>
    <row r="140" spans="1:1" x14ac:dyDescent="0.3">
      <c r="A140" t="s">
        <v>7</v>
      </c>
    </row>
    <row r="141" spans="1:1" x14ac:dyDescent="0.3">
      <c r="A141" t="s">
        <v>7</v>
      </c>
    </row>
  </sheetData>
  <pageMargins left="0.7" right="0.7" top="0.75" bottom="0.75" header="0.3" footer="0.3"/>
  <drawing r:id="rId1"/>
  <tableParts count="3">
    <tablePart r:id="rId2"/>
    <tablePart r:id="rId3"/>
    <tablePart r:id="rId4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E111B-AA82-43BC-9C59-878A2FF67545}">
  <dimension ref="A1:D58"/>
  <sheetViews>
    <sheetView tabSelected="1" workbookViewId="0">
      <selection activeCell="O12" sqref="O12"/>
    </sheetView>
  </sheetViews>
  <sheetFormatPr defaultRowHeight="14.4" x14ac:dyDescent="0.3"/>
  <cols>
    <col min="1" max="1" width="13.88671875" bestFit="1" customWidth="1"/>
    <col min="3" max="3" width="12.44140625" bestFit="1" customWidth="1"/>
    <col min="4" max="4" width="21.77734375" bestFit="1" customWidth="1"/>
  </cols>
  <sheetData>
    <row r="1" spans="1:4" x14ac:dyDescent="0.3">
      <c r="A1" s="21" t="s">
        <v>44</v>
      </c>
      <c r="C1" s="22" t="s">
        <v>86</v>
      </c>
      <c r="D1" t="s">
        <v>88</v>
      </c>
    </row>
    <row r="2" spans="1:4" x14ac:dyDescent="0.3">
      <c r="A2" t="s">
        <v>13</v>
      </c>
      <c r="C2" s="23" t="s">
        <v>37</v>
      </c>
      <c r="D2" s="24">
        <v>16</v>
      </c>
    </row>
    <row r="3" spans="1:4" x14ac:dyDescent="0.3">
      <c r="A3" t="s">
        <v>37</v>
      </c>
      <c r="C3" s="23" t="s">
        <v>13</v>
      </c>
      <c r="D3" s="24">
        <v>41</v>
      </c>
    </row>
    <row r="4" spans="1:4" x14ac:dyDescent="0.3">
      <c r="A4" t="s">
        <v>13</v>
      </c>
      <c r="C4" s="23" t="s">
        <v>87</v>
      </c>
      <c r="D4" s="24">
        <v>57</v>
      </c>
    </row>
    <row r="5" spans="1:4" x14ac:dyDescent="0.3">
      <c r="A5" t="s">
        <v>13</v>
      </c>
    </row>
    <row r="6" spans="1:4" x14ac:dyDescent="0.3">
      <c r="A6" t="s">
        <v>37</v>
      </c>
    </row>
    <row r="7" spans="1:4" x14ac:dyDescent="0.3">
      <c r="A7" t="s">
        <v>37</v>
      </c>
    </row>
    <row r="8" spans="1:4" x14ac:dyDescent="0.3">
      <c r="A8" t="s">
        <v>13</v>
      </c>
    </row>
    <row r="9" spans="1:4" x14ac:dyDescent="0.3">
      <c r="A9" t="s">
        <v>37</v>
      </c>
    </row>
    <row r="10" spans="1:4" x14ac:dyDescent="0.3">
      <c r="A10" t="s">
        <v>13</v>
      </c>
    </row>
    <row r="11" spans="1:4" x14ac:dyDescent="0.3">
      <c r="A11" t="s">
        <v>13</v>
      </c>
    </row>
    <row r="12" spans="1:4" x14ac:dyDescent="0.3">
      <c r="A12" t="s">
        <v>13</v>
      </c>
    </row>
    <row r="13" spans="1:4" x14ac:dyDescent="0.3">
      <c r="A13" t="s">
        <v>13</v>
      </c>
    </row>
    <row r="14" spans="1:4" x14ac:dyDescent="0.3">
      <c r="A14" t="s">
        <v>13</v>
      </c>
    </row>
    <row r="15" spans="1:4" x14ac:dyDescent="0.3">
      <c r="A15" t="s">
        <v>37</v>
      </c>
    </row>
    <row r="16" spans="1:4" x14ac:dyDescent="0.3">
      <c r="A16" t="s">
        <v>13</v>
      </c>
    </row>
    <row r="17" spans="1:1" x14ac:dyDescent="0.3">
      <c r="A17" t="s">
        <v>13</v>
      </c>
    </row>
    <row r="18" spans="1:1" x14ac:dyDescent="0.3">
      <c r="A18" t="s">
        <v>37</v>
      </c>
    </row>
    <row r="19" spans="1:1" x14ac:dyDescent="0.3">
      <c r="A19" t="s">
        <v>13</v>
      </c>
    </row>
    <row r="20" spans="1:1" x14ac:dyDescent="0.3">
      <c r="A20" t="s">
        <v>13</v>
      </c>
    </row>
    <row r="21" spans="1:1" x14ac:dyDescent="0.3">
      <c r="A21" t="s">
        <v>13</v>
      </c>
    </row>
    <row r="22" spans="1:1" x14ac:dyDescent="0.3">
      <c r="A22" t="s">
        <v>13</v>
      </c>
    </row>
    <row r="23" spans="1:1" x14ac:dyDescent="0.3">
      <c r="A23" t="s">
        <v>37</v>
      </c>
    </row>
    <row r="24" spans="1:1" x14ac:dyDescent="0.3">
      <c r="A24" t="s">
        <v>13</v>
      </c>
    </row>
    <row r="25" spans="1:1" x14ac:dyDescent="0.3">
      <c r="A25" t="s">
        <v>13</v>
      </c>
    </row>
    <row r="26" spans="1:1" x14ac:dyDescent="0.3">
      <c r="A26" t="s">
        <v>13</v>
      </c>
    </row>
    <row r="27" spans="1:1" x14ac:dyDescent="0.3">
      <c r="A27" t="s">
        <v>13</v>
      </c>
    </row>
    <row r="28" spans="1:1" x14ac:dyDescent="0.3">
      <c r="A28" t="s">
        <v>13</v>
      </c>
    </row>
    <row r="29" spans="1:1" x14ac:dyDescent="0.3">
      <c r="A29" t="s">
        <v>13</v>
      </c>
    </row>
    <row r="30" spans="1:1" x14ac:dyDescent="0.3">
      <c r="A30" t="s">
        <v>13</v>
      </c>
    </row>
    <row r="31" spans="1:1" x14ac:dyDescent="0.3">
      <c r="A31" t="s">
        <v>13</v>
      </c>
    </row>
    <row r="32" spans="1:1" x14ac:dyDescent="0.3">
      <c r="A32" t="s">
        <v>13</v>
      </c>
    </row>
    <row r="33" spans="1:1" x14ac:dyDescent="0.3">
      <c r="A33" t="s">
        <v>37</v>
      </c>
    </row>
    <row r="34" spans="1:1" x14ac:dyDescent="0.3">
      <c r="A34" t="s">
        <v>13</v>
      </c>
    </row>
    <row r="35" spans="1:1" x14ac:dyDescent="0.3">
      <c r="A35" t="s">
        <v>13</v>
      </c>
    </row>
    <row r="36" spans="1:1" x14ac:dyDescent="0.3">
      <c r="A36" t="s">
        <v>13</v>
      </c>
    </row>
    <row r="37" spans="1:1" x14ac:dyDescent="0.3">
      <c r="A37" t="s">
        <v>37</v>
      </c>
    </row>
    <row r="38" spans="1:1" x14ac:dyDescent="0.3">
      <c r="A38" t="s">
        <v>37</v>
      </c>
    </row>
    <row r="39" spans="1:1" x14ac:dyDescent="0.3">
      <c r="A39" t="s">
        <v>13</v>
      </c>
    </row>
    <row r="40" spans="1:1" x14ac:dyDescent="0.3">
      <c r="A40" t="s">
        <v>13</v>
      </c>
    </row>
    <row r="41" spans="1:1" x14ac:dyDescent="0.3">
      <c r="A41" t="s">
        <v>37</v>
      </c>
    </row>
    <row r="42" spans="1:1" x14ac:dyDescent="0.3">
      <c r="A42" t="s">
        <v>13</v>
      </c>
    </row>
    <row r="43" spans="1:1" x14ac:dyDescent="0.3">
      <c r="A43" t="s">
        <v>13</v>
      </c>
    </row>
    <row r="44" spans="1:1" x14ac:dyDescent="0.3">
      <c r="A44" t="s">
        <v>13</v>
      </c>
    </row>
    <row r="45" spans="1:1" x14ac:dyDescent="0.3">
      <c r="A45" t="s">
        <v>13</v>
      </c>
    </row>
    <row r="46" spans="1:1" x14ac:dyDescent="0.3">
      <c r="A46" t="s">
        <v>37</v>
      </c>
    </row>
    <row r="47" spans="1:1" x14ac:dyDescent="0.3">
      <c r="A47" t="s">
        <v>13</v>
      </c>
    </row>
    <row r="48" spans="1:1" x14ac:dyDescent="0.3">
      <c r="A48" t="s">
        <v>13</v>
      </c>
    </row>
    <row r="49" spans="1:1" x14ac:dyDescent="0.3">
      <c r="A49" t="s">
        <v>13</v>
      </c>
    </row>
    <row r="50" spans="1:1" x14ac:dyDescent="0.3">
      <c r="A50" t="s">
        <v>37</v>
      </c>
    </row>
    <row r="51" spans="1:1" x14ac:dyDescent="0.3">
      <c r="A51" t="s">
        <v>13</v>
      </c>
    </row>
    <row r="52" spans="1:1" x14ac:dyDescent="0.3">
      <c r="A52" t="s">
        <v>13</v>
      </c>
    </row>
    <row r="53" spans="1:1" x14ac:dyDescent="0.3">
      <c r="A53" t="s">
        <v>37</v>
      </c>
    </row>
    <row r="54" spans="1:1" x14ac:dyDescent="0.3">
      <c r="A54" t="s">
        <v>37</v>
      </c>
    </row>
    <row r="55" spans="1:1" x14ac:dyDescent="0.3">
      <c r="A55" t="s">
        <v>13</v>
      </c>
    </row>
    <row r="56" spans="1:1" x14ac:dyDescent="0.3">
      <c r="A56" t="s">
        <v>13</v>
      </c>
    </row>
    <row r="57" spans="1:1" x14ac:dyDescent="0.3">
      <c r="A57" t="s">
        <v>37</v>
      </c>
    </row>
    <row r="58" spans="1:1" x14ac:dyDescent="0.3">
      <c r="A58" t="s">
        <v>13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11543FA-0A59-4084-B4F0-E9FA2981F0D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Sheet1</vt:lpstr>
      <vt:lpstr>Sheet2</vt:lpstr>
      <vt:lpstr>Sheet5</vt:lpstr>
      <vt:lpstr>Sheet6</vt:lpstr>
      <vt:lpstr>Latest</vt:lpstr>
      <vt:lpstr>Partworth Analysis</vt:lpstr>
      <vt:lpstr>Price</vt:lpstr>
      <vt:lpstr>Market Prediction</vt:lpstr>
      <vt:lpstr>Type of Patty frequency </vt:lpstr>
      <vt:lpstr>Type of bread frequency</vt:lpstr>
      <vt:lpstr>Profile Frequency</vt:lpstr>
      <vt:lpstr>Number of patties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Aryan Rajashekhar</dc:creator>
  <cp:lastModifiedBy>Rahul Aryan Rajashekhar</cp:lastModifiedBy>
  <dcterms:created xsi:type="dcterms:W3CDTF">2025-04-18T12:51:05Z</dcterms:created>
  <dcterms:modified xsi:type="dcterms:W3CDTF">2025-04-25T10:49:18Z</dcterms:modified>
</cp:coreProperties>
</file>